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EC161CA8-8BB5-48E9-A46C-030F9067ACB0}" xr6:coauthVersionLast="47" xr6:coauthVersionMax="47" xr10:uidLastSave="{00000000-0000-0000-0000-000000000000}"/>
  <bookViews>
    <workbookView xWindow="-110" yWindow="-110" windowWidth="19420" windowHeight="11020" activeTab="2" xr2:uid="{22A5745B-9E59-4E91-9FA4-3C7DB1ABBFEE}"/>
  </bookViews>
  <sheets>
    <sheet name="auto" sheetId="1" r:id="rId1"/>
    <sheet name="manual" sheetId="2" r:id="rId2"/>
    <sheet name="KRA" sheetId="6" r:id="rId3"/>
    <sheet name="Behavior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6" l="1"/>
  <c r="K4" i="6"/>
  <c r="K3" i="6"/>
  <c r="M3" i="6"/>
  <c r="L3" i="6"/>
  <c r="M11" i="7"/>
  <c r="M12" i="7"/>
  <c r="N2" i="6"/>
  <c r="F13" i="6"/>
  <c r="F14" i="6"/>
  <c r="F15" i="6"/>
  <c r="F12" i="6"/>
  <c r="F8" i="6"/>
  <c r="F9" i="6"/>
  <c r="F10" i="6"/>
  <c r="F7" i="6"/>
  <c r="L2" i="6"/>
  <c r="F3" i="6"/>
  <c r="F4" i="6"/>
  <c r="F5" i="6"/>
  <c r="L1" i="6"/>
  <c r="K1" i="6"/>
  <c r="M3" i="7"/>
  <c r="M4" i="7"/>
  <c r="M6" i="7"/>
  <c r="M7" i="7"/>
  <c r="M8" i="7"/>
  <c r="I9" i="7"/>
  <c r="M10" i="7"/>
  <c r="M4" i="6" s="1"/>
  <c r="F2" i="6"/>
  <c r="M2" i="7"/>
  <c r="E3" i="1"/>
  <c r="F3" i="1" s="1"/>
  <c r="H2" i="2"/>
  <c r="C19" i="2"/>
  <c r="B19" i="2"/>
  <c r="F10" i="2"/>
  <c r="I2" i="2" s="1"/>
  <c r="C15" i="1"/>
  <c r="B15" i="1"/>
  <c r="E5" i="1"/>
  <c r="F5" i="1" s="1"/>
  <c r="C18" i="1"/>
  <c r="B18" i="1"/>
  <c r="A18" i="1"/>
  <c r="C11" i="1"/>
  <c r="D17" i="1" s="1"/>
  <c r="B11" i="1"/>
  <c r="C17" i="1"/>
  <c r="C16" i="1"/>
  <c r="B17" i="1"/>
  <c r="A17" i="1"/>
  <c r="A16" i="1"/>
  <c r="E4" i="1"/>
  <c r="F4" i="1" s="1"/>
  <c r="I4" i="6" l="1"/>
  <c r="N4" i="6" s="1"/>
  <c r="N10" i="7"/>
  <c r="N6" i="7"/>
  <c r="I3" i="6"/>
  <c r="N3" i="6" s="1"/>
  <c r="I2" i="6"/>
  <c r="K2" i="6"/>
  <c r="N2" i="7"/>
  <c r="J2" i="6"/>
  <c r="L2" i="2"/>
  <c r="B16" i="1"/>
  <c r="D16" i="1"/>
  <c r="E16" i="1" s="1"/>
  <c r="F16" i="1" s="1"/>
  <c r="D18" i="1"/>
  <c r="E18" i="1" s="1"/>
  <c r="F18" i="1" s="1"/>
  <c r="E17" i="1"/>
  <c r="F17" i="1" s="1"/>
  <c r="M2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Justine Rovira</author>
  </authors>
  <commentList>
    <comment ref="C10" authorId="0" shapeId="0" xr:uid="{7231A954-B562-4049-B66C-0365C4EEEBC7}">
      <text>
        <r>
          <rPr>
            <b/>
            <sz val="9"/>
            <color indexed="81"/>
            <rFont val="Tahoma"/>
            <family val="2"/>
          </rPr>
          <t xml:space="preserve">Average of Self Core Values within the department
</t>
        </r>
      </text>
    </comment>
    <comment ref="E15" authorId="0" shapeId="0" xr:uid="{556B91CA-F9AB-48B3-957A-8014E5D48BE0}">
      <text>
        <r>
          <rPr>
            <b/>
            <sz val="9"/>
            <color indexed="81"/>
            <rFont val="Tahoma"/>
            <family val="2"/>
          </rPr>
          <t xml:space="preserve">Final Score absorbed by the system
</t>
        </r>
      </text>
    </comment>
  </commentList>
</comments>
</file>

<file path=xl/sharedStrings.xml><?xml version="1.0" encoding="utf-8"?>
<sst xmlns="http://schemas.openxmlformats.org/spreadsheetml/2006/main" count="148" uniqueCount="79">
  <si>
    <t>Rating Scale</t>
  </si>
  <si>
    <t>1.00–4.00</t>
  </si>
  <si>
    <t>KRA Weight</t>
  </si>
  <si>
    <t>Behavior Weight</t>
  </si>
  <si>
    <t>Employee</t>
  </si>
  <si>
    <t>Position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</si>
  <si>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</si>
  <si>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</si>
  <si>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</si>
  <si>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</si>
  <si>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</si>
  <si>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</si>
  <si>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Final Score</t>
  </si>
  <si>
    <t>Rating</t>
  </si>
  <si>
    <t>Final Department State (after all employees complete)</t>
  </si>
  <si>
    <t>Self Core Values</t>
  </si>
  <si>
    <t>Self KRA</t>
  </si>
  <si>
    <t>Score</t>
  </si>
  <si>
    <t>KRA Items</t>
  </si>
  <si>
    <t>Weight</t>
  </si>
  <si>
    <t>Core Behavior &amp; values</t>
  </si>
  <si>
    <t>KRA 1</t>
  </si>
  <si>
    <t>Core Item 1</t>
  </si>
  <si>
    <t>KRA 2</t>
  </si>
  <si>
    <t xml:space="preserve">Core Item 2 </t>
  </si>
  <si>
    <t>KRA 3</t>
  </si>
  <si>
    <t>Core Item 3</t>
  </si>
  <si>
    <t>KRA 4</t>
  </si>
  <si>
    <t>Core Item 4</t>
  </si>
  <si>
    <t>KRA 5</t>
  </si>
  <si>
    <t>Core Item 5</t>
  </si>
  <si>
    <t>KRA 6</t>
  </si>
  <si>
    <t>Core Item 6</t>
  </si>
  <si>
    <t>KRA 7</t>
  </si>
  <si>
    <t>Core Item 7</t>
  </si>
  <si>
    <t>KRA 8</t>
  </si>
  <si>
    <t>Core Item 8</t>
  </si>
  <si>
    <t>KRA 9</t>
  </si>
  <si>
    <t>KRA 10</t>
  </si>
  <si>
    <t>KRA 11</t>
  </si>
  <si>
    <t>KRA 12</t>
  </si>
  <si>
    <t>KRA 13</t>
  </si>
  <si>
    <t>KRA 14</t>
  </si>
  <si>
    <t>KRA 15</t>
  </si>
  <si>
    <t>KRA 16</t>
  </si>
  <si>
    <t>KRA 17</t>
  </si>
  <si>
    <t>KRA Subtotal</t>
  </si>
  <si>
    <t>Core Values Average</t>
  </si>
  <si>
    <t>Core Values Weight</t>
  </si>
  <si>
    <t>hr manager</t>
  </si>
  <si>
    <t>hr supervisor</t>
  </si>
  <si>
    <t>hr staff</t>
  </si>
  <si>
    <t>Elena</t>
  </si>
  <si>
    <t>Patricia</t>
  </si>
  <si>
    <t>Miguel</t>
  </si>
  <si>
    <t>AVERAGE</t>
  </si>
  <si>
    <t>Criterion</t>
  </si>
  <si>
    <t>Self-rating</t>
  </si>
  <si>
    <t>Head-reviewed rating</t>
  </si>
  <si>
    <t>Effective rating</t>
  </si>
  <si>
    <t>Miguel Torres</t>
  </si>
  <si>
    <t>Employee being rated</t>
  </si>
  <si>
    <t>Rater</t>
  </si>
  <si>
    <t>Type</t>
  </si>
  <si>
    <t>Respect</t>
  </si>
  <si>
    <t>Accountability</t>
  </si>
  <si>
    <t>Commitment</t>
  </si>
  <si>
    <t>Teamwork</t>
  </si>
  <si>
    <t>Integrity</t>
  </si>
  <si>
    <t>Self</t>
  </si>
  <si>
    <t>Patricia Gomez</t>
  </si>
  <si>
    <t>Department 360</t>
  </si>
  <si>
    <t>Elena Delgado</t>
  </si>
  <si>
    <t>Positive</t>
  </si>
  <si>
    <t>Improvement</t>
  </si>
  <si>
    <t>Client experience</t>
  </si>
  <si>
    <t>KRA</t>
  </si>
  <si>
    <t>Core Values &amp; Behaviors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</si>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</sst>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  <xf numFmtId="9" fontId="8" fillId="0" borderId="0" xfId="0" applyNumberFormat="1" applyFont="1" applyAlignment="1">
      <alignment vertical="center"/>
    </xf>
    <xf numFmtId="2" fontId="0" fillId="0" borderId="0" xfId="0" applyNumberFormat="1"/>
    <xf numFmtId="9" fontId="0" fillId="0" borderId="0" xfId="0" applyNumberFormat="1"/>
    <xf numFmtId="0" fontId="1" fillId="0" borderId="0" xfId="0" applyFont="1"/>
    <xf numFmtId="0" fontId="8" fillId="0" borderId="0" xfId="0" applyFont="1" applyAlignment="1">
      <alignment vertical="center"/>
    </xf>
    <xf numFmtId="2" fontId="0" fillId="0" borderId="0" xfId="0" applyNumberFormat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0" fontId="8" fillId="0" borderId="0" xfId="0" applyNumberFormat="1" applyFont="1" applyAlignment="1">
      <alignment vertical="center"/>
    </xf>
    <xf numFmtId="2" fontId="8" fillId="3" borderId="0" xfId="0" applyNumberFormat="1" applyFont="1" applyFill="1" applyAlignment="1">
      <alignment vertical="center"/>
    </xf>
    <xf numFmtId="2" fontId="0" fillId="8" borderId="0" xfId="0" applyNumberFormat="1" applyFill="1"/>
    <xf numFmtId="165" fontId="0" fillId="3" borderId="0" xfId="0" applyNumberFormat="1" applyFill="1"/>
    <xf numFmtId="0" fontId="1" fillId="0" borderId="0" xfId="0" applyFont="1" applyAlignment="1">
      <alignment horizontal="center" vertical="center" wrapText="1"/>
    </xf>
    <xf numFmtId="2" fontId="0" fillId="8" borderId="4" xfId="0" applyNumberFormat="1" applyFill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9" fontId="0" fillId="0" borderId="4" xfId="0" applyNumberFormat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9" fontId="0" fillId="0" borderId="0" xfId="0" applyNumberFormat="1" applyAlignment="1">
      <alignment horizontal="center"/>
    </xf>
    <xf numFmtId="2" fontId="0" fillId="7" borderId="0" xfId="0" applyNumberFormat="1" applyFill="1"/>
    <xf numFmtId="2" fontId="1" fillId="0" borderId="4" xfId="0" applyNumberFormat="1" applyFont="1" applyBorder="1" applyAlignment="1">
      <alignment horizontal="center"/>
    </xf>
    <xf numFmtId="2" fontId="0" fillId="9" borderId="4" xfId="0" applyNumberFormat="1" applyFill="1" applyBorder="1" applyAlignment="1">
      <alignment horizontal="center"/>
    </xf>
    <xf numFmtId="0" fontId="0" fillId="10" borderId="4" xfId="0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workbookViewId="0">
      <selection activeCell="E16" sqref="E16"/>
    </sheetView>
  </sheetViews>
  <sheetFormatPr defaultColWidth="26" defaultRowHeight="14.5"/>
  <cols>
    <col min="1" max="1" width="52.1796875" bestFit="1" customWidth="1"/>
    <col min="2" max="2" width="10.7265625" bestFit="1" customWidth="1"/>
    <col min="3" max="4" width="20.453125" bestFit="1" customWidth="1"/>
    <col min="5" max="5" width="10.54296875" bestFit="1" customWidth="1"/>
    <col min="6" max="6" width="19.81640625" bestFit="1" customWidth="1"/>
    <col min="7" max="7" width="13.54296875" customWidth="1"/>
    <col min="8" max="8" width="12" customWidth="1"/>
  </cols>
  <sheetData>
    <row r="1" spans="1:8">
      <c r="A1" s="9" t="s">
        <v>0</v>
      </c>
      <c r="B1" s="9" t="s">
        <v>1</v>
      </c>
      <c r="C1" s="9"/>
      <c r="D1" s="9" t="s">
        <v>2</v>
      </c>
      <c r="E1" s="12">
        <v>0.8</v>
      </c>
      <c r="F1" s="9" t="s">
        <v>3</v>
      </c>
      <c r="G1" s="12">
        <v>0.2</v>
      </c>
    </row>
    <row r="2" spans="1:8">
      <c r="A2" s="11" t="s">
        <v>4</v>
      </c>
      <c r="B2" s="11" t="s">
        <v>5</v>
      </c>
      <c r="C2" s="11" t="s">
        <v>16</v>
      </c>
      <c r="D2" s="11" t="s">
        <v>15</v>
      </c>
      <c r="E2" s="11" t="s">
        <v>17</v>
      </c>
      <c r="F2" s="11" t="s">
        <v>6</v>
      </c>
      <c r="G2" s="1"/>
      <c r="H2" s="1"/>
    </row>
    <row r="3" spans="1:8" ht="16">
      <c r="A3" s="18" t="s">
        <v>52</v>
      </c>
      <c r="B3" s="16" t="s">
        <v>49</v>
      </c>
      <c r="C3" s="25">
        <v>3.9</v>
      </c>
      <c r="D3" s="17">
        <v>3.6</v>
      </c>
      <c r="E3" s="7">
        <f>C3*$E$1+D3*$G$1</f>
        <v>3.8400000000000003</v>
      </c>
      <c r="F3" s="6" t="str">
        <f>IF(E3&gt;=3.6,"Outstanding",
 IF(E3&gt;=2.6,"Exceeds Expectations",
 IF(E3&gt;=2,"Meets Expectations","Needs Improvement")))</f>
        <v>Outstanding</v>
      </c>
      <c r="G3" s="1"/>
      <c r="H3" s="1"/>
    </row>
    <row r="4" spans="1:8" ht="16">
      <c r="A4" s="18" t="s">
        <v>53</v>
      </c>
      <c r="B4" s="16" t="s">
        <v>50</v>
      </c>
      <c r="C4" s="17">
        <v>3.2</v>
      </c>
      <c r="D4" s="17">
        <v>3.4</v>
      </c>
      <c r="E4" s="7">
        <f>C4*$E$1+D4*$G$1</f>
        <v>3.2400000000000007</v>
      </c>
      <c r="F4" s="6" t="str">
        <f t="shared" ref="F4:F5" si="0">IF(E4&gt;=3.6,"Outstanding",
 IF(E4&gt;=2.6,"Exceeds Expectations",
 IF(E4&gt;=2,"Meets Expectations","Needs Improvement")))</f>
        <v>Exceeds Expectations</v>
      </c>
      <c r="G4" s="1"/>
      <c r="H4" s="1"/>
    </row>
    <row r="5" spans="1:8" ht="16">
      <c r="A5" s="18" t="s">
        <v>54</v>
      </c>
      <c r="B5" s="16" t="s">
        <v>51</v>
      </c>
      <c r="C5" s="17">
        <v>2.4</v>
      </c>
      <c r="D5" s="17">
        <v>4</v>
      </c>
      <c r="E5" s="7">
        <f>C5*$E$1+D5*$G$1</f>
        <v>2.7199999999999998</v>
      </c>
      <c r="F5" s="6" t="str">
        <f t="shared" si="0"/>
        <v>Exceeds Expectations</v>
      </c>
      <c r="G5" s="1"/>
      <c r="H5" s="1"/>
    </row>
    <row r="6" spans="1:8" ht="16">
      <c r="A6" s="18"/>
      <c r="B6" s="16"/>
      <c r="C6" s="17"/>
      <c r="D6" s="15"/>
      <c r="E6" s="6"/>
      <c r="F6" s="19"/>
    </row>
    <row r="7" spans="1:8" ht="16">
      <c r="A7" s="18"/>
      <c r="B7" s="16"/>
      <c r="C7" s="17"/>
      <c r="D7" s="17"/>
      <c r="E7" s="6"/>
      <c r="F7" s="19"/>
    </row>
    <row r="8" spans="1:8">
      <c r="A8" s="2" t="s">
        <v>14</v>
      </c>
    </row>
    <row r="10" spans="1:8">
      <c r="A10" s="8" t="s">
        <v>7</v>
      </c>
      <c r="B10" s="8" t="s">
        <v>8</v>
      </c>
      <c r="C10" s="8" t="s">
        <v>9</v>
      </c>
    </row>
    <row r="11" spans="1:8">
      <c r="A11" s="9" t="s">
        <v>10</v>
      </c>
      <c r="B11" s="9">
        <f>COUNTA(A3:A7)</f>
        <v>3</v>
      </c>
      <c r="C11" s="10">
        <f>AVERAGE(D3:D7)</f>
        <v>3.6666666666666665</v>
      </c>
    </row>
    <row r="12" spans="1:8">
      <c r="A12" s="1"/>
      <c r="B12" s="1"/>
      <c r="C12" s="1"/>
    </row>
    <row r="13" spans="1:8">
      <c r="A13" s="3" t="s">
        <v>11</v>
      </c>
      <c r="B13" s="4"/>
      <c r="C13" s="5"/>
    </row>
    <row r="15" spans="1:8">
      <c r="A15" s="13" t="s">
        <v>4</v>
      </c>
      <c r="B15" s="13" t="str">
        <f>C2</f>
        <v>Self KRA</v>
      </c>
      <c r="C15" s="13" t="str">
        <f>D2</f>
        <v>Self Core Values</v>
      </c>
      <c r="D15" s="13" t="s">
        <v>9</v>
      </c>
      <c r="E15" s="13" t="s">
        <v>12</v>
      </c>
      <c r="F15" s="13" t="s">
        <v>13</v>
      </c>
    </row>
    <row r="16" spans="1:8">
      <c r="A16" s="9" t="str">
        <f>A3</f>
        <v>Elena</v>
      </c>
      <c r="B16" s="10">
        <f t="shared" ref="B16:C18" si="1">C3</f>
        <v>3.9</v>
      </c>
      <c r="C16" s="10">
        <f t="shared" si="1"/>
        <v>3.6</v>
      </c>
      <c r="D16" s="10">
        <f>$C$11</f>
        <v>3.6666666666666665</v>
      </c>
      <c r="E16" s="14">
        <f>B16*$E$1+D16*$G$1</f>
        <v>3.8533333333333335</v>
      </c>
      <c r="F16" s="9" t="str">
        <f>IF(E16&gt;=3.6,"Outstanding",
 IF(E16&gt;=2.6,"Exceeds Expectations",
 IF(E16&gt;=2,"Meets Expectations","Needs Improvement")))</f>
        <v>Outstanding</v>
      </c>
    </row>
    <row r="17" spans="1:6">
      <c r="A17" s="9" t="str">
        <f>A4</f>
        <v>Patricia</v>
      </c>
      <c r="B17" s="10">
        <f t="shared" si="1"/>
        <v>3.2</v>
      </c>
      <c r="C17" s="10">
        <f t="shared" si="1"/>
        <v>3.4</v>
      </c>
      <c r="D17" s="10">
        <f t="shared" ref="D17:D18" si="2">$C$11</f>
        <v>3.6666666666666665</v>
      </c>
      <c r="E17" s="14">
        <f>B17*$E$1+D17*$G$1</f>
        <v>3.2933333333333339</v>
      </c>
      <c r="F17" s="9" t="str">
        <f t="shared" ref="F17:F18" si="3">IF(E17&gt;=3.6,"Outstanding",
 IF(E17&gt;=2.6,"Exceeds Expectations",
 IF(E17&gt;=2,"Meets Expectations","Needs Improvement")))</f>
        <v>Exceeds Expectations</v>
      </c>
    </row>
    <row r="18" spans="1:6">
      <c r="A18" s="9" t="str">
        <f>A5</f>
        <v>Miguel</v>
      </c>
      <c r="B18" s="10">
        <f t="shared" si="1"/>
        <v>2.4</v>
      </c>
      <c r="C18" s="10">
        <f t="shared" si="1"/>
        <v>4</v>
      </c>
      <c r="D18" s="10">
        <f t="shared" si="2"/>
        <v>3.6666666666666665</v>
      </c>
      <c r="E18" s="14">
        <f>B18*$E$1+D18*$G$1</f>
        <v>2.6533333333333333</v>
      </c>
      <c r="F18" s="9" t="str">
        <f t="shared" si="3"/>
        <v>Exceeds Expectations</v>
      </c>
    </row>
    <row r="19" spans="1:6">
      <c r="A19" s="9"/>
      <c r="B19" s="10"/>
      <c r="C19" s="10"/>
      <c r="D19" s="10"/>
      <c r="E19" s="14"/>
      <c r="F19" s="9"/>
    </row>
    <row r="20" spans="1:6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D037B-B578-4EA5-923C-168A9DE23B26}">
  <dimension ref="A1:N19"/>
  <sheetViews>
    <sheetView zoomScale="85" zoomScaleNormal="85" workbookViewId="0">
      <selection activeCell="J2" sqref="J2"/>
    </sheetView>
  </sheetViews>
  <sheetFormatPr defaultColWidth="7" defaultRowHeight="14.5"/>
  <cols>
    <col min="1" max="1" width="8.90625" bestFit="1" customWidth="1"/>
    <col min="3" max="3" width="5.90625" bestFit="1" customWidth="1"/>
    <col min="5" max="5" width="19.36328125" bestFit="1" customWidth="1"/>
    <col min="6" max="6" width="5.90625" bestFit="1" customWidth="1"/>
    <col min="8" max="8" width="16.26953125" bestFit="1" customWidth="1"/>
    <col min="9" max="9" width="17.54296875" bestFit="1" customWidth="1"/>
    <col min="10" max="10" width="10" bestFit="1" customWidth="1"/>
    <col min="11" max="11" width="16.6328125" bestFit="1" customWidth="1"/>
    <col min="12" max="12" width="9.7265625" bestFit="1" customWidth="1"/>
    <col min="14" max="14" width="9" bestFit="1" customWidth="1"/>
  </cols>
  <sheetData>
    <row r="1" spans="1:14">
      <c r="A1" t="s">
        <v>18</v>
      </c>
      <c r="B1" t="s">
        <v>19</v>
      </c>
      <c r="C1" t="s">
        <v>13</v>
      </c>
      <c r="E1" t="s">
        <v>20</v>
      </c>
      <c r="F1" t="s">
        <v>13</v>
      </c>
      <c r="H1" t="s">
        <v>46</v>
      </c>
      <c r="I1" t="s">
        <v>47</v>
      </c>
      <c r="J1" t="s">
        <v>2</v>
      </c>
      <c r="K1" t="s">
        <v>48</v>
      </c>
      <c r="L1" t="s">
        <v>12</v>
      </c>
    </row>
    <row r="2" spans="1:14">
      <c r="A2" t="s">
        <v>21</v>
      </c>
      <c r="B2" s="28">
        <v>0.3</v>
      </c>
      <c r="C2">
        <v>4</v>
      </c>
      <c r="D2" s="27"/>
      <c r="E2" t="s">
        <v>22</v>
      </c>
      <c r="F2" s="24">
        <v>1</v>
      </c>
      <c r="H2" s="29">
        <f>SUMPRODUCT(B2:B18,C2:C18)</f>
        <v>2.9000000000000004</v>
      </c>
      <c r="I2" s="31">
        <f>F10/8</f>
        <v>3.375</v>
      </c>
      <c r="J2" s="22">
        <v>0.8</v>
      </c>
      <c r="K2" s="22">
        <v>0.2</v>
      </c>
      <c r="L2" s="30">
        <f>(H2*J2)+(I2*K2)</f>
        <v>2.9950000000000001</v>
      </c>
      <c r="M2" s="20"/>
      <c r="N2" s="28"/>
    </row>
    <row r="3" spans="1:14">
      <c r="A3" t="s">
        <v>23</v>
      </c>
      <c r="B3" s="28">
        <v>0.3</v>
      </c>
      <c r="C3">
        <v>1</v>
      </c>
      <c r="D3" s="27"/>
      <c r="E3" t="s">
        <v>24</v>
      </c>
      <c r="F3" s="24">
        <v>3</v>
      </c>
      <c r="M3" s="20"/>
      <c r="N3" s="28"/>
    </row>
    <row r="4" spans="1:14">
      <c r="A4" t="s">
        <v>25</v>
      </c>
      <c r="B4" s="28">
        <v>0.2</v>
      </c>
      <c r="C4">
        <v>3</v>
      </c>
      <c r="D4" s="27"/>
      <c r="E4" t="s">
        <v>26</v>
      </c>
      <c r="F4" s="24">
        <v>4</v>
      </c>
      <c r="I4" s="21"/>
      <c r="M4" s="20"/>
      <c r="N4" s="28"/>
    </row>
    <row r="5" spans="1:14">
      <c r="A5" t="s">
        <v>27</v>
      </c>
      <c r="B5" s="28">
        <v>0.2</v>
      </c>
      <c r="C5">
        <v>4</v>
      </c>
      <c r="D5" s="27"/>
      <c r="E5" t="s">
        <v>28</v>
      </c>
      <c r="F5" s="24">
        <v>4</v>
      </c>
      <c r="I5" s="20"/>
      <c r="J5" s="28"/>
    </row>
    <row r="6" spans="1:14">
      <c r="A6" t="s">
        <v>29</v>
      </c>
      <c r="B6" s="28"/>
      <c r="D6" s="27"/>
      <c r="E6" t="s">
        <v>30</v>
      </c>
      <c r="F6" s="24">
        <v>4</v>
      </c>
      <c r="I6" s="20"/>
      <c r="J6" s="28"/>
    </row>
    <row r="7" spans="1:14">
      <c r="A7" t="s">
        <v>31</v>
      </c>
      <c r="B7" s="28"/>
      <c r="D7" s="27"/>
      <c r="E7" t="s">
        <v>32</v>
      </c>
      <c r="F7" s="24">
        <v>4</v>
      </c>
      <c r="I7" s="20"/>
      <c r="J7" s="28"/>
    </row>
    <row r="8" spans="1:14">
      <c r="A8" t="s">
        <v>33</v>
      </c>
      <c r="B8" s="28"/>
      <c r="D8" s="27"/>
      <c r="E8" t="s">
        <v>34</v>
      </c>
      <c r="F8" s="24">
        <v>3</v>
      </c>
      <c r="I8" s="20"/>
      <c r="J8" s="28"/>
    </row>
    <row r="9" spans="1:14">
      <c r="A9" t="s">
        <v>35</v>
      </c>
      <c r="B9" s="28"/>
      <c r="D9" s="27"/>
      <c r="E9" t="s">
        <v>36</v>
      </c>
      <c r="F9" s="24">
        <v>4</v>
      </c>
      <c r="M9" s="20"/>
      <c r="N9" s="28"/>
    </row>
    <row r="10" spans="1:14">
      <c r="A10" t="s">
        <v>37</v>
      </c>
      <c r="B10" s="28"/>
      <c r="D10" s="27"/>
      <c r="F10" s="23">
        <f>SUM(F2:F9)</f>
        <v>27</v>
      </c>
      <c r="M10" s="20"/>
      <c r="N10" s="28"/>
    </row>
    <row r="11" spans="1:14">
      <c r="A11" t="s">
        <v>38</v>
      </c>
      <c r="B11" s="28"/>
      <c r="D11" s="27"/>
      <c r="M11" s="20"/>
      <c r="N11" s="28"/>
    </row>
    <row r="12" spans="1:14">
      <c r="A12" t="s">
        <v>39</v>
      </c>
      <c r="B12" s="28"/>
      <c r="D12" s="27"/>
      <c r="M12" s="20"/>
      <c r="N12" s="28"/>
    </row>
    <row r="13" spans="1:14">
      <c r="A13" t="s">
        <v>40</v>
      </c>
      <c r="B13" s="28"/>
      <c r="D13" s="27"/>
      <c r="H13" s="20"/>
      <c r="I13" s="28"/>
    </row>
    <row r="14" spans="1:14">
      <c r="A14" t="s">
        <v>41</v>
      </c>
      <c r="B14" s="28"/>
      <c r="D14" s="27"/>
      <c r="H14" s="20"/>
      <c r="I14" s="28"/>
      <c r="K14" s="21"/>
    </row>
    <row r="15" spans="1:14">
      <c r="A15" t="s">
        <v>42</v>
      </c>
      <c r="B15" s="28"/>
      <c r="D15" s="27"/>
      <c r="H15" s="20"/>
      <c r="I15" s="28"/>
    </row>
    <row r="16" spans="1:14">
      <c r="A16" t="s">
        <v>43</v>
      </c>
      <c r="B16" s="28"/>
      <c r="D16" s="27"/>
      <c r="H16" s="20"/>
      <c r="I16" s="28"/>
    </row>
    <row r="17" spans="1:9">
      <c r="A17" t="s">
        <v>44</v>
      </c>
      <c r="B17" s="28"/>
      <c r="D17" s="27"/>
      <c r="H17" s="20"/>
      <c r="I17" s="28"/>
    </row>
    <row r="18" spans="1:9">
      <c r="A18" t="s">
        <v>45</v>
      </c>
      <c r="B18" s="28"/>
      <c r="D18" s="27"/>
      <c r="H18" s="20"/>
      <c r="I18" s="28"/>
    </row>
    <row r="19" spans="1:9">
      <c r="B19" s="22">
        <f>SUM(B2:B18)</f>
        <v>1</v>
      </c>
      <c r="C19" s="23">
        <f>SUM(C2:C18)</f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713E5-6216-4E2A-886D-99615C42A4FD}">
  <dimension ref="A1:N17"/>
  <sheetViews>
    <sheetView tabSelected="1" zoomScaleNormal="100" workbookViewId="0">
      <selection activeCell="J8" sqref="J8"/>
    </sheetView>
  </sheetViews>
  <sheetFormatPr defaultColWidth="9.7265625" defaultRowHeight="14.5"/>
  <cols>
    <col min="1" max="1" width="13.1796875" style="1" bestFit="1" customWidth="1"/>
    <col min="2" max="2" width="8.1796875" style="1" bestFit="1" customWidth="1"/>
    <col min="3" max="3" width="6.6328125" style="1" bestFit="1" customWidth="1"/>
    <col min="4" max="4" width="9.54296875" style="1" bestFit="1" customWidth="1"/>
    <col min="5" max="5" width="18.7265625" style="1" bestFit="1" customWidth="1"/>
    <col min="6" max="6" width="13.453125" style="1" bestFit="1" customWidth="1"/>
    <col min="7" max="7" width="7.54296875" style="1" customWidth="1"/>
    <col min="8" max="8" width="13.1796875" style="1" bestFit="1" customWidth="1"/>
    <col min="9" max="9" width="6.08984375" style="1" customWidth="1"/>
    <col min="10" max="10" width="21.08984375" style="1" bestFit="1" customWidth="1"/>
    <col min="11" max="11" width="13.453125" style="1" bestFit="1" customWidth="1"/>
    <col min="12" max="12" width="12.26953125" style="1" bestFit="1" customWidth="1"/>
    <col min="13" max="16384" width="9.7265625" style="1"/>
  </cols>
  <sheetData>
    <row r="1" spans="1:14">
      <c r="A1" s="26" t="s">
        <v>4</v>
      </c>
      <c r="B1" s="26" t="s">
        <v>56</v>
      </c>
      <c r="C1" s="26" t="s">
        <v>19</v>
      </c>
      <c r="D1" s="26" t="s">
        <v>57</v>
      </c>
      <c r="E1" s="26" t="s">
        <v>58</v>
      </c>
      <c r="F1" s="26" t="s">
        <v>59</v>
      </c>
      <c r="H1" s="26" t="s">
        <v>4</v>
      </c>
      <c r="I1" s="26" t="s">
        <v>76</v>
      </c>
      <c r="J1" s="26" t="s">
        <v>77</v>
      </c>
      <c r="K1" s="36" t="str">
        <f>A7</f>
        <v>Patricia Gomez</v>
      </c>
      <c r="L1" s="36" t="str">
        <f>A12</f>
        <v>Elena Delgado</v>
      </c>
      <c r="M1" s="36" t="s">
        <v>55</v>
      </c>
      <c r="N1" s="36" t="s">
        <v>78</v>
      </c>
    </row>
    <row r="2" spans="1:14">
      <c r="A2" s="34" t="s">
        <v>60</v>
      </c>
      <c r="B2" s="34" t="s">
        <v>21</v>
      </c>
      <c r="C2" s="35">
        <v>0.3</v>
      </c>
      <c r="D2" s="34">
        <v>3</v>
      </c>
      <c r="E2" s="34">
        <v>4</v>
      </c>
      <c r="F2" s="34">
        <f>IF(D2="","",IF(E2="",D2,E2))</f>
        <v>4</v>
      </c>
      <c r="H2" s="9" t="s">
        <v>60</v>
      </c>
      <c r="I2" s="33">
        <f>ROUND(SUMPRODUCT(C2:C5,F2:F5),3)</f>
        <v>2.8</v>
      </c>
      <c r="J2" s="33">
        <f>Behavior!M2</f>
        <v>2.375</v>
      </c>
      <c r="K2" s="10">
        <f>Behavior!M3</f>
        <v>2.75</v>
      </c>
      <c r="L2" s="10">
        <f>Behavior!M4</f>
        <v>2</v>
      </c>
      <c r="M2" s="39">
        <f>AVERAGE(J2:L2)</f>
        <v>2.375</v>
      </c>
      <c r="N2" s="40">
        <f>(I2*$G$17)+(M2*$H$17)</f>
        <v>2.7149999999999999</v>
      </c>
    </row>
    <row r="3" spans="1:14">
      <c r="A3" s="34" t="s">
        <v>60</v>
      </c>
      <c r="B3" s="34" t="s">
        <v>23</v>
      </c>
      <c r="C3" s="35">
        <v>0.3</v>
      </c>
      <c r="D3" s="34">
        <v>2</v>
      </c>
      <c r="E3" s="34">
        <v>2</v>
      </c>
      <c r="F3" s="34">
        <f t="shared" ref="F3:F5" si="0">IF(D3="","",IF(E3="",D3,E3))</f>
        <v>2</v>
      </c>
      <c r="H3" s="9" t="s">
        <v>70</v>
      </c>
      <c r="I3" s="33">
        <f>ROUND(SUMPRODUCT(C7:C10,F7:F10),3)</f>
        <v>3.1</v>
      </c>
      <c r="K3" s="33">
        <f>Behavior!M6</f>
        <v>2.25</v>
      </c>
      <c r="L3" s="10">
        <f>Behavior!M8</f>
        <v>3</v>
      </c>
      <c r="M3" s="39">
        <f t="shared" ref="M3:M4" si="1">AVERAGE(J3:L3)</f>
        <v>2.625</v>
      </c>
      <c r="N3" s="40">
        <f t="shared" ref="N3:N4" si="2">(I3*$G$17)+(M3*$H$17)</f>
        <v>3.0050000000000003</v>
      </c>
    </row>
    <row r="4" spans="1:14">
      <c r="A4" s="34" t="s">
        <v>60</v>
      </c>
      <c r="B4" s="34" t="s">
        <v>25</v>
      </c>
      <c r="C4" s="35">
        <v>0.2</v>
      </c>
      <c r="D4" s="34">
        <v>1</v>
      </c>
      <c r="E4" s="34">
        <v>1</v>
      </c>
      <c r="F4" s="34">
        <f t="shared" si="0"/>
        <v>1</v>
      </c>
      <c r="H4" s="9" t="s">
        <v>72</v>
      </c>
      <c r="I4" s="33">
        <f>ROUND(SUMPRODUCT(C12:C15,F12:F15),3)</f>
        <v>4</v>
      </c>
      <c r="K4" s="10">
        <f>Behavior!M11</f>
        <v>3.625</v>
      </c>
      <c r="L4" s="33">
        <f>Behavior!M10</f>
        <v>3.875</v>
      </c>
      <c r="M4" s="39">
        <f t="shared" si="1"/>
        <v>3.75</v>
      </c>
      <c r="N4" s="40">
        <f t="shared" si="2"/>
        <v>3.95</v>
      </c>
    </row>
    <row r="5" spans="1:14">
      <c r="A5" s="34" t="s">
        <v>60</v>
      </c>
      <c r="B5" s="34" t="s">
        <v>27</v>
      </c>
      <c r="C5" s="35">
        <v>0.2</v>
      </c>
      <c r="D5" s="34">
        <v>2</v>
      </c>
      <c r="E5" s="34">
        <v>4</v>
      </c>
      <c r="F5" s="34">
        <f t="shared" si="0"/>
        <v>4</v>
      </c>
    </row>
    <row r="7" spans="1:14">
      <c r="A7" s="9" t="s">
        <v>70</v>
      </c>
      <c r="B7" s="34" t="s">
        <v>21</v>
      </c>
      <c r="C7" s="35">
        <v>0.3</v>
      </c>
      <c r="D7" s="9">
        <v>3</v>
      </c>
      <c r="E7" s="9">
        <v>4</v>
      </c>
      <c r="F7" s="34">
        <f>IF(D7="","",IF(E7="",D7,E7))</f>
        <v>4</v>
      </c>
    </row>
    <row r="8" spans="1:14">
      <c r="A8" s="9" t="s">
        <v>70</v>
      </c>
      <c r="B8" s="34" t="s">
        <v>23</v>
      </c>
      <c r="C8" s="35">
        <v>0.3</v>
      </c>
      <c r="D8" s="9">
        <v>3</v>
      </c>
      <c r="E8" s="9">
        <v>3</v>
      </c>
      <c r="F8" s="34">
        <f t="shared" ref="F8:F15" si="3">IF(D8="","",IF(E8="",D8,E8))</f>
        <v>3</v>
      </c>
    </row>
    <row r="9" spans="1:14">
      <c r="A9" s="9" t="s">
        <v>70</v>
      </c>
      <c r="B9" s="34" t="s">
        <v>25</v>
      </c>
      <c r="C9" s="35">
        <v>0.2</v>
      </c>
      <c r="D9" s="9">
        <v>3</v>
      </c>
      <c r="E9" s="9">
        <v>3</v>
      </c>
      <c r="F9" s="34">
        <f t="shared" si="3"/>
        <v>3</v>
      </c>
    </row>
    <row r="10" spans="1:14">
      <c r="A10" s="9" t="s">
        <v>70</v>
      </c>
      <c r="B10" s="34" t="s">
        <v>27</v>
      </c>
      <c r="C10" s="35">
        <v>0.2</v>
      </c>
      <c r="D10" s="9">
        <v>3</v>
      </c>
      <c r="E10" s="9">
        <v>2</v>
      </c>
      <c r="F10" s="34">
        <f t="shared" si="3"/>
        <v>2</v>
      </c>
    </row>
    <row r="12" spans="1:14">
      <c r="A12" s="9" t="s">
        <v>72</v>
      </c>
      <c r="B12" s="34" t="s">
        <v>21</v>
      </c>
      <c r="C12" s="35">
        <v>0.3</v>
      </c>
      <c r="D12" s="9">
        <v>3</v>
      </c>
      <c r="E12" s="9">
        <v>4</v>
      </c>
      <c r="F12" s="34">
        <f t="shared" si="3"/>
        <v>4</v>
      </c>
    </row>
    <row r="13" spans="1:14">
      <c r="A13" s="9" t="s">
        <v>72</v>
      </c>
      <c r="B13" s="34" t="s">
        <v>23</v>
      </c>
      <c r="C13" s="35">
        <v>0.3</v>
      </c>
      <c r="D13" s="9">
        <v>3</v>
      </c>
      <c r="E13" s="9">
        <v>4</v>
      </c>
      <c r="F13" s="34">
        <f t="shared" si="3"/>
        <v>4</v>
      </c>
    </row>
    <row r="14" spans="1:14">
      <c r="A14" s="9" t="s">
        <v>72</v>
      </c>
      <c r="B14" s="34" t="s">
        <v>25</v>
      </c>
      <c r="C14" s="35">
        <v>0.2</v>
      </c>
      <c r="D14" s="9">
        <v>3</v>
      </c>
      <c r="E14" s="9">
        <v>4</v>
      </c>
      <c r="F14" s="34">
        <f t="shared" si="3"/>
        <v>4</v>
      </c>
    </row>
    <row r="15" spans="1:14">
      <c r="A15" s="9" t="s">
        <v>72</v>
      </c>
      <c r="B15" s="34" t="s">
        <v>27</v>
      </c>
      <c r="C15" s="35">
        <v>0.2</v>
      </c>
      <c r="D15" s="9">
        <v>3</v>
      </c>
      <c r="E15" s="9">
        <v>4</v>
      </c>
      <c r="F15" s="34">
        <f t="shared" si="3"/>
        <v>4</v>
      </c>
    </row>
    <row r="17" spans="7:8">
      <c r="G17" s="37">
        <v>0.8</v>
      </c>
      <c r="H17" s="37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ABDA-F64E-447D-9BAA-A4961C5442AD}">
  <dimension ref="A1:N12"/>
  <sheetViews>
    <sheetView topLeftCell="B1" zoomScale="115" zoomScaleNormal="115" workbookViewId="0">
      <selection activeCell="M11" sqref="M11"/>
    </sheetView>
  </sheetViews>
  <sheetFormatPr defaultColWidth="22" defaultRowHeight="14.5"/>
  <cols>
    <col min="1" max="1" width="18.90625" bestFit="1" customWidth="1"/>
    <col min="2" max="2" width="13.1796875" bestFit="1" customWidth="1"/>
    <col min="3" max="3" width="14" bestFit="1" customWidth="1"/>
    <col min="4" max="4" width="7.08984375" bestFit="1" customWidth="1"/>
    <col min="5" max="5" width="7.453125" bestFit="1" customWidth="1"/>
    <col min="6" max="6" width="7.6328125" bestFit="1" customWidth="1"/>
    <col min="7" max="7" width="13.08984375" bestFit="1" customWidth="1"/>
    <col min="8" max="8" width="11.90625" bestFit="1" customWidth="1"/>
    <col min="9" max="9" width="9.36328125" bestFit="1" customWidth="1"/>
    <col min="10" max="10" width="7.7265625" bestFit="1" customWidth="1"/>
    <col min="11" max="11" width="12" bestFit="1" customWidth="1"/>
    <col min="12" max="12" width="15.6328125" bestFit="1" customWidth="1"/>
    <col min="13" max="13" width="6.54296875" bestFit="1" customWidth="1"/>
  </cols>
  <sheetData>
    <row r="1" spans="1:14">
      <c r="A1" s="26" t="s">
        <v>61</v>
      </c>
      <c r="B1" s="26" t="s">
        <v>62</v>
      </c>
      <c r="C1" s="26" t="s">
        <v>63</v>
      </c>
      <c r="D1" s="26" t="s">
        <v>62</v>
      </c>
      <c r="E1" s="26" t="s">
        <v>73</v>
      </c>
      <c r="F1" s="26" t="s">
        <v>64</v>
      </c>
      <c r="G1" s="26" t="s">
        <v>65</v>
      </c>
      <c r="H1" s="26" t="s">
        <v>66</v>
      </c>
      <c r="I1" s="26" t="s">
        <v>67</v>
      </c>
      <c r="J1" s="26" t="s">
        <v>68</v>
      </c>
      <c r="K1" s="26" t="s">
        <v>74</v>
      </c>
      <c r="L1" s="26" t="s">
        <v>75</v>
      </c>
      <c r="M1" s="1"/>
      <c r="N1" s="32" t="s">
        <v>55</v>
      </c>
    </row>
    <row r="2" spans="1:14">
      <c r="A2" s="34" t="s">
        <v>60</v>
      </c>
      <c r="B2" s="34" t="s">
        <v>60</v>
      </c>
      <c r="C2" s="34" t="s">
        <v>69</v>
      </c>
      <c r="D2" s="42" t="s">
        <v>54</v>
      </c>
      <c r="E2" s="34">
        <v>4</v>
      </c>
      <c r="F2" s="34">
        <v>2</v>
      </c>
      <c r="G2" s="34">
        <v>1</v>
      </c>
      <c r="H2" s="34">
        <v>2</v>
      </c>
      <c r="I2" s="34">
        <v>3</v>
      </c>
      <c r="J2" s="34">
        <v>2</v>
      </c>
      <c r="K2" s="34">
        <v>1</v>
      </c>
      <c r="L2" s="34">
        <v>4</v>
      </c>
      <c r="M2" s="25">
        <f>IF(COUNT(E2:L2)=8,AVERAGE(E2:L2),"")</f>
        <v>2.375</v>
      </c>
      <c r="N2" s="38">
        <f>AVERAGE(M2:M4)</f>
        <v>2.375</v>
      </c>
    </row>
    <row r="3" spans="1:14">
      <c r="A3" s="34" t="s">
        <v>60</v>
      </c>
      <c r="B3" s="34" t="s">
        <v>70</v>
      </c>
      <c r="C3" s="34" t="s">
        <v>71</v>
      </c>
      <c r="D3" s="43" t="s">
        <v>53</v>
      </c>
      <c r="E3" s="34">
        <v>4</v>
      </c>
      <c r="F3" s="34">
        <v>2</v>
      </c>
      <c r="G3" s="34">
        <v>4</v>
      </c>
      <c r="H3" s="34">
        <v>2</v>
      </c>
      <c r="I3" s="34">
        <v>3</v>
      </c>
      <c r="J3" s="34">
        <v>2</v>
      </c>
      <c r="K3" s="34">
        <v>1</v>
      </c>
      <c r="L3" s="34">
        <v>4</v>
      </c>
      <c r="M3" s="25">
        <f t="shared" ref="I3:M12" si="0">IF(COUNT(E3:L3)=8,AVERAGE(E3:L3),"")</f>
        <v>2.75</v>
      </c>
    </row>
    <row r="4" spans="1:14">
      <c r="A4" s="34" t="s">
        <v>60</v>
      </c>
      <c r="B4" s="34" t="s">
        <v>72</v>
      </c>
      <c r="C4" s="34" t="s">
        <v>71</v>
      </c>
      <c r="D4" s="41" t="s">
        <v>52</v>
      </c>
      <c r="E4" s="34">
        <v>1</v>
      </c>
      <c r="F4" s="34">
        <v>2</v>
      </c>
      <c r="G4" s="34">
        <v>1</v>
      </c>
      <c r="H4" s="34">
        <v>2</v>
      </c>
      <c r="I4" s="34">
        <v>3</v>
      </c>
      <c r="J4" s="34">
        <v>2</v>
      </c>
      <c r="K4" s="34">
        <v>1</v>
      </c>
      <c r="L4" s="34">
        <v>4</v>
      </c>
      <c r="M4" s="25">
        <f>IF(COUNT(E4:L4)=8,AVERAGE(E4:L4),"")</f>
        <v>2</v>
      </c>
    </row>
    <row r="5" spans="1:14">
      <c r="A5" s="1"/>
      <c r="B5" s="1"/>
      <c r="C5" s="1"/>
      <c r="D5" s="1"/>
    </row>
    <row r="6" spans="1:14">
      <c r="A6" s="34" t="s">
        <v>70</v>
      </c>
      <c r="B6" s="34" t="s">
        <v>70</v>
      </c>
      <c r="C6" s="34" t="s">
        <v>69</v>
      </c>
      <c r="D6" s="43" t="s">
        <v>53</v>
      </c>
      <c r="E6" s="9">
        <v>1</v>
      </c>
      <c r="F6" s="9">
        <v>3</v>
      </c>
      <c r="G6" s="9">
        <v>2</v>
      </c>
      <c r="H6" s="9">
        <v>1</v>
      </c>
      <c r="I6" s="9">
        <v>3</v>
      </c>
      <c r="J6" s="9">
        <v>3</v>
      </c>
      <c r="K6" s="9">
        <v>2</v>
      </c>
      <c r="L6" s="9">
        <v>3</v>
      </c>
      <c r="M6" s="1">
        <f t="shared" si="0"/>
        <v>2.25</v>
      </c>
      <c r="N6" s="38">
        <f>AVERAGE(M6:M8)</f>
        <v>2.625</v>
      </c>
    </row>
    <row r="7" spans="1:14">
      <c r="A7" s="34" t="s">
        <v>70</v>
      </c>
      <c r="B7" s="34" t="s">
        <v>60</v>
      </c>
      <c r="C7" s="34" t="s">
        <v>71</v>
      </c>
      <c r="D7" s="42" t="s">
        <v>54</v>
      </c>
      <c r="E7" s="9">
        <v>1</v>
      </c>
      <c r="F7" s="9">
        <v>3</v>
      </c>
      <c r="G7" s="9">
        <v>2</v>
      </c>
      <c r="H7" s="9">
        <v>4</v>
      </c>
      <c r="I7" s="9">
        <v>3</v>
      </c>
      <c r="J7" s="9">
        <v>3</v>
      </c>
      <c r="K7" s="9">
        <v>2</v>
      </c>
      <c r="L7" s="9">
        <v>3</v>
      </c>
      <c r="M7" s="25">
        <f t="shared" si="0"/>
        <v>2.625</v>
      </c>
    </row>
    <row r="8" spans="1:14">
      <c r="A8" s="34" t="s">
        <v>70</v>
      </c>
      <c r="B8" s="34" t="s">
        <v>72</v>
      </c>
      <c r="C8" s="34" t="s">
        <v>71</v>
      </c>
      <c r="D8" s="41" t="s">
        <v>52</v>
      </c>
      <c r="E8" s="9">
        <v>4</v>
      </c>
      <c r="F8" s="9">
        <v>3</v>
      </c>
      <c r="G8" s="9">
        <v>2</v>
      </c>
      <c r="H8" s="9">
        <v>4</v>
      </c>
      <c r="I8" s="9">
        <v>3</v>
      </c>
      <c r="J8" s="9">
        <v>3</v>
      </c>
      <c r="K8" s="9">
        <v>2</v>
      </c>
      <c r="L8" s="9">
        <v>3</v>
      </c>
      <c r="M8" s="25">
        <f t="shared" si="0"/>
        <v>3</v>
      </c>
    </row>
    <row r="9" spans="1:14">
      <c r="A9" s="1"/>
      <c r="B9" s="1"/>
      <c r="C9" s="1"/>
      <c r="D9" s="1"/>
      <c r="E9" s="1"/>
      <c r="F9" s="1"/>
      <c r="G9" s="1"/>
      <c r="H9" s="1"/>
      <c r="I9" s="1" t="str">
        <f t="shared" si="0"/>
        <v/>
      </c>
    </row>
    <row r="10" spans="1:14">
      <c r="A10" s="34" t="s">
        <v>72</v>
      </c>
      <c r="B10" s="34" t="s">
        <v>72</v>
      </c>
      <c r="C10" s="34" t="s">
        <v>69</v>
      </c>
      <c r="D10" s="41" t="s">
        <v>52</v>
      </c>
      <c r="E10" s="9">
        <v>4</v>
      </c>
      <c r="F10" s="9">
        <v>4</v>
      </c>
      <c r="G10" s="9">
        <v>3</v>
      </c>
      <c r="H10" s="9">
        <v>4</v>
      </c>
      <c r="I10" s="9">
        <v>4</v>
      </c>
      <c r="J10" s="9">
        <v>4</v>
      </c>
      <c r="K10" s="9">
        <v>4</v>
      </c>
      <c r="L10" s="9">
        <v>4</v>
      </c>
      <c r="M10" s="25">
        <f t="shared" si="0"/>
        <v>3.875</v>
      </c>
      <c r="N10" s="38">
        <f>AVERAGE(M10:M12)</f>
        <v>3.6666666666666665</v>
      </c>
    </row>
    <row r="11" spans="1:14">
      <c r="A11" s="34" t="s">
        <v>72</v>
      </c>
      <c r="B11" s="34" t="s">
        <v>70</v>
      </c>
      <c r="C11" s="34" t="s">
        <v>71</v>
      </c>
      <c r="D11" s="43" t="s">
        <v>53</v>
      </c>
      <c r="E11" s="9">
        <v>4</v>
      </c>
      <c r="F11" s="9">
        <v>4</v>
      </c>
      <c r="G11" s="9">
        <v>3</v>
      </c>
      <c r="H11" s="9">
        <v>2</v>
      </c>
      <c r="I11" s="9">
        <v>4</v>
      </c>
      <c r="J11" s="9">
        <v>4</v>
      </c>
      <c r="K11" s="9">
        <v>4</v>
      </c>
      <c r="L11" s="9">
        <v>4</v>
      </c>
      <c r="M11" s="25">
        <f t="shared" si="0"/>
        <v>3.625</v>
      </c>
    </row>
    <row r="12" spans="1:14">
      <c r="A12" s="34" t="s">
        <v>72</v>
      </c>
      <c r="B12" s="34" t="s">
        <v>60</v>
      </c>
      <c r="C12" s="34" t="s">
        <v>71</v>
      </c>
      <c r="D12" s="42" t="s">
        <v>54</v>
      </c>
      <c r="E12" s="9">
        <v>4</v>
      </c>
      <c r="F12" s="9">
        <v>4</v>
      </c>
      <c r="G12" s="9">
        <v>3</v>
      </c>
      <c r="H12" s="9">
        <v>1</v>
      </c>
      <c r="I12" s="9">
        <v>4</v>
      </c>
      <c r="J12" s="9">
        <v>4</v>
      </c>
      <c r="K12" s="9">
        <v>4</v>
      </c>
      <c r="L12" s="9">
        <v>4</v>
      </c>
      <c r="M12" s="25">
        <f t="shared" si="0"/>
        <v>3.5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auto</vt:lpstr>
      <vt:lpstr>manual</vt:lpstr>
      <vt:lpstr>KRA</vt:lpstr>
      <vt:lpstr>Behavior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2026-10-23T13:48:10Z</dcterms:modified>
</cp:coreProperties>
</file>