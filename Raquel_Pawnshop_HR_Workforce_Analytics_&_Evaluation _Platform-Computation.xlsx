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8703D970-7BBB-4CE6-A518-FA02AED8A1D5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1" l="1"/>
  <c r="B20" i="1"/>
  <c r="A20" i="1"/>
  <c r="A19" i="1"/>
  <c r="B19" i="1"/>
  <c r="C19" i="1"/>
  <c r="E5" i="1"/>
  <c r="F5" i="1" s="1"/>
  <c r="C18" i="1"/>
  <c r="B18" i="1"/>
  <c r="A18" i="1"/>
  <c r="C11" i="1"/>
  <c r="D17" i="1" s="1"/>
  <c r="B11" i="1"/>
  <c r="C17" i="1"/>
  <c r="C16" i="1"/>
  <c r="B17" i="1"/>
  <c r="B16" i="1"/>
  <c r="A17" i="1"/>
  <c r="A16" i="1"/>
  <c r="E4" i="1"/>
  <c r="E3" i="1"/>
  <c r="D20" i="1" l="1"/>
  <c r="E20" i="1" s="1"/>
  <c r="F20" i="1" s="1"/>
  <c r="D19" i="1"/>
  <c r="E19" i="1" s="1"/>
  <c r="F19" i="1" s="1"/>
  <c r="D16" i="1"/>
  <c r="E16" i="1" s="1"/>
  <c r="F16" i="1" s="1"/>
  <c r="D18" i="1"/>
  <c r="E18" i="1" s="1"/>
  <c r="F18" i="1" s="1"/>
  <c r="E17" i="1"/>
  <c r="F17" i="1" s="1"/>
  <c r="F4" i="1"/>
  <c r="F3" i="1"/>
</calcChain>
</file>

<file path=xl/sharedStrings.xml><?xml version="1.0" encoding="utf-8"?>
<sst xmlns="http://schemas.openxmlformats.org/spreadsheetml/2006/main" count="28" uniqueCount="25">
  <si>
    <t>Rating Scale</t>
  </si>
  <si>
    <t>1.00–4.00</t>
  </si>
  <si>
    <t>KRA Weight</t>
  </si>
  <si>
    <t>Behavior Weight</t>
  </si>
  <si>
    <t>Employee</t>
  </si>
  <si>
    <t>Position</t>
  </si>
  <si>
    <t>Individual KRA</t>
  </si>
  <si>
    <t>Individual Behavior</t>
  </si>
  <si>
    <t>Individual Score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</si>
  <si>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</si>
  <si>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</si>
  <si>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</si>
  <si>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</si>
  <si>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</si>
  <si>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</si>
  <si>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KRA</t>
  </si>
  <si>
    <t>Final Score</t>
  </si>
  <si>
    <t>Rating</t>
  </si>
  <si>
    <t>Final Department State (after all employees complete)</t>
  </si>
  <si>
    <t>elena</t>
  </si>
  <si>
    <t>patricia</t>
  </si>
  <si>
    <t>miguel</t>
  </si>
  <si>
    <t>hr manager</t>
  </si>
  <si>
    <t>hr supervisor</t>
  </si>
  <si>
    <t>hr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</si>
</sst>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E9" sqref="E9"/>
    </sheetView>
  </sheetViews>
  <sheetFormatPr defaultColWidth="26" defaultRowHeight="15" x14ac:dyDescent="0.25"/>
  <cols>
    <col min="1" max="1" width="52.7109375" bestFit="1" customWidth="1"/>
    <col min="2" max="2" width="23.7109375" bestFit="1" customWidth="1"/>
    <col min="3" max="4" width="20.42578125" bestFit="1" customWidth="1"/>
    <col min="5" max="5" width="15.28515625" bestFit="1" customWidth="1"/>
    <col min="6" max="6" width="19.85546875" bestFit="1" customWidth="1"/>
    <col min="7" max="7" width="15.28515625" bestFit="1" customWidth="1"/>
    <col min="8" max="8" width="4.5703125" bestFit="1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/>
      <c r="G1" s="9" t="s">
        <v>3</v>
      </c>
      <c r="H1" s="12">
        <v>0.2</v>
      </c>
    </row>
    <row r="2" spans="1:8" x14ac:dyDescent="0.25">
      <c r="A2" s="11" t="s">
        <v>4</v>
      </c>
      <c r="B2" s="11" t="s">
        <v>5</v>
      </c>
      <c r="C2" s="11" t="s">
        <v>6</v>
      </c>
      <c r="D2" s="11" t="s">
        <v>7</v>
      </c>
      <c r="E2" s="11" t="s">
        <v>8</v>
      </c>
      <c r="F2" s="11" t="s">
        <v>9</v>
      </c>
      <c r="G2" s="1"/>
      <c r="H2" s="1"/>
    </row>
    <row r="3" spans="1:8" x14ac:dyDescent="0.25">
      <c r="A3" s="18" t="s">
        <v>19</v>
      </c>
      <c r="B3" s="16" t="s">
        <v>22</v>
      </c>
      <c r="C3" s="17"/>
      <c r="D3" s="17"/>
      <c r="E3" s="7">
        <f>C3*$E$1+D3*$H$1</f>
        <v>0</v>
      </c>
      <c r="F3" s="6" t="str">
        <f>IF(E3&gt;=3.6,"Outstanding",IF(E3&gt;=2.6,"Exceeds Expectations",IF(E3&gt;=2,"Meets Expectations","Needs Improvement")))</f>
        <v>Needs Improvement</v>
      </c>
      <c r="G3" s="1"/>
      <c r="H3" s="1"/>
    </row>
    <row r="4" spans="1:8" x14ac:dyDescent="0.25">
      <c r="A4" s="18" t="s">
        <v>20</v>
      </c>
      <c r="B4" s="16" t="s">
        <v>23</v>
      </c>
      <c r="C4" s="17"/>
      <c r="D4" s="17"/>
      <c r="E4" s="7">
        <f>C4*$E$1+D4*$H$1</f>
        <v>0</v>
      </c>
      <c r="F4" s="6" t="str">
        <f t="shared" ref="F4:F5" si="0">IF(E4&gt;=3.6,"Outstanding",IF(E4&gt;=2.6,"Exceeds Expectations",IF(E4&gt;=2,"Meets Expectations","Needs Improvement")))</f>
        <v>Needs Improvement</v>
      </c>
      <c r="G4" s="1"/>
      <c r="H4" s="1"/>
    </row>
    <row r="5" spans="1:8" x14ac:dyDescent="0.25">
      <c r="A5" s="18" t="s">
        <v>21</v>
      </c>
      <c r="B5" s="16" t="s">
        <v>24</v>
      </c>
      <c r="C5" s="17">
        <v>2.88</v>
      </c>
      <c r="D5" s="17">
        <v>3.13</v>
      </c>
      <c r="E5" s="7">
        <f>C5*$E$1+D5*$H$1</f>
        <v>2.9299999999999997</v>
      </c>
      <c r="F5" s="6" t="str">
        <f t="shared" si="0"/>
        <v>Exceeds Expectations</v>
      </c>
      <c r="G5" s="1"/>
      <c r="H5" s="1"/>
    </row>
    <row r="6" spans="1:8" x14ac:dyDescent="0.25">
      <c r="A6" s="18"/>
      <c r="B6" s="16"/>
      <c r="C6" s="17"/>
      <c r="D6" s="15"/>
      <c r="E6" s="6"/>
      <c r="F6" s="19"/>
    </row>
    <row r="7" spans="1:8" x14ac:dyDescent="0.25">
      <c r="A7" s="18"/>
      <c r="B7" s="16"/>
      <c r="C7" s="17"/>
      <c r="D7" s="17"/>
      <c r="E7" s="6"/>
      <c r="F7" s="19"/>
    </row>
    <row r="8" spans="1:8" x14ac:dyDescent="0.25">
      <c r="A8" s="2" t="s">
        <v>18</v>
      </c>
    </row>
    <row r="10" spans="1:8" x14ac:dyDescent="0.25">
      <c r="A10" s="8" t="s">
        <v>10</v>
      </c>
      <c r="B10" s="8" t="s">
        <v>11</v>
      </c>
      <c r="C10" s="8" t="s">
        <v>12</v>
      </c>
    </row>
    <row r="11" spans="1:8" x14ac:dyDescent="0.25">
      <c r="A11" s="9" t="s">
        <v>13</v>
      </c>
      <c r="B11" s="9">
        <f>COUNTA(A3:A7)</f>
        <v>3</v>
      </c>
      <c r="C11" s="10">
        <f>AVERAGE(D3:D7)</f>
        <v>3.13</v>
      </c>
    </row>
    <row r="12" spans="1:8" x14ac:dyDescent="0.25">
      <c r="A12" s="1"/>
      <c r="B12" s="1"/>
      <c r="C12" s="1"/>
    </row>
    <row r="13" spans="1:8" x14ac:dyDescent="0.25">
      <c r="A13" s="3" t="s">
        <v>14</v>
      </c>
      <c r="B13" s="4"/>
      <c r="C13" s="5"/>
    </row>
    <row r="15" spans="1:8" x14ac:dyDescent="0.25">
      <c r="A15" s="13" t="s">
        <v>4</v>
      </c>
      <c r="B15" s="13" t="s">
        <v>15</v>
      </c>
      <c r="C15" s="13" t="s">
        <v>7</v>
      </c>
      <c r="D15" s="13" t="s">
        <v>12</v>
      </c>
      <c r="E15" s="13" t="s">
        <v>16</v>
      </c>
      <c r="F15" s="13" t="s">
        <v>17</v>
      </c>
    </row>
    <row r="16" spans="1:8" x14ac:dyDescent="0.25">
      <c r="A16" s="9" t="str">
        <f>A3</f>
        <v>elena</v>
      </c>
      <c r="B16" s="10">
        <f t="shared" ref="B16:C19" si="1">C3</f>
        <v>0</v>
      </c>
      <c r="C16" s="10">
        <f t="shared" si="1"/>
        <v>0</v>
      </c>
      <c r="D16" s="10">
        <f>$C$11</f>
        <v>3.13</v>
      </c>
      <c r="E16" s="14">
        <f>B16*$E$1+D16*$H$1</f>
        <v>0.626</v>
      </c>
      <c r="F16" s="9" t="str">
        <f>IF(E16&gt;=3.6,"Outstanding",IF(E16&gt;=2.6,"Exceeds Expectations",IF(E16&gt;=2,"Meets Expectations","Needs Improvement")))</f>
        <v>Needs Improvement</v>
      </c>
    </row>
    <row r="17" spans="1:6" x14ac:dyDescent="0.25">
      <c r="A17" s="9" t="str">
        <f>A4</f>
        <v>patricia</v>
      </c>
      <c r="B17" s="10">
        <f t="shared" si="1"/>
        <v>0</v>
      </c>
      <c r="C17" s="10">
        <f t="shared" si="1"/>
        <v>0</v>
      </c>
      <c r="D17" s="10">
        <f t="shared" ref="D17:D19" si="2">$C$11</f>
        <v>3.13</v>
      </c>
      <c r="E17" s="14">
        <f t="shared" ref="E17" si="3">B17*$E$1+D17*$H$1</f>
        <v>0.626</v>
      </c>
      <c r="F17" s="9" t="str">
        <f t="shared" ref="F17" si="4">IF(E17&gt;=3.6,"Outstanding",IF(E17&gt;=2.6,"Exceeds Expectations",IF(E17&gt;=2,"Meets Expectations","Needs Improvement")))</f>
        <v>Needs Improvement</v>
      </c>
    </row>
    <row r="18" spans="1:6" x14ac:dyDescent="0.25">
      <c r="A18" s="9" t="str">
        <f>A5</f>
        <v>miguel</v>
      </c>
      <c r="B18" s="10">
        <f t="shared" si="1"/>
        <v>2.88</v>
      </c>
      <c r="C18" s="10">
        <f t="shared" si="1"/>
        <v>3.13</v>
      </c>
      <c r="D18" s="10">
        <f t="shared" si="2"/>
        <v>3.13</v>
      </c>
      <c r="E18" s="14">
        <f t="shared" ref="E18:E20" si="5">B18*$E$1+D18*$H$1</f>
        <v>2.9299999999999997</v>
      </c>
      <c r="F18" s="9" t="str">
        <f t="shared" ref="F18:F20" si="6">IF(E18&gt;=3.6,"Outstanding",IF(E18&gt;=2.6,"Exceeds Expectations",IF(E18&gt;=2,"Meets Expectations","Needs Improvement")))</f>
        <v>Exceeds Expectations</v>
      </c>
    </row>
    <row r="19" spans="1:6" x14ac:dyDescent="0.25">
      <c r="A19" s="9">
        <f>A6</f>
        <v>0</v>
      </c>
      <c r="B19" s="10">
        <f t="shared" si="1"/>
        <v>0</v>
      </c>
      <c r="C19" s="10">
        <f t="shared" si="1"/>
        <v>0</v>
      </c>
      <c r="D19" s="10">
        <f t="shared" si="2"/>
        <v>3.13</v>
      </c>
      <c r="E19" s="14">
        <f t="shared" si="5"/>
        <v>0.626</v>
      </c>
      <c r="F19" s="9" t="str">
        <f t="shared" si="6"/>
        <v>Needs Improvement</v>
      </c>
    </row>
    <row r="20" spans="1:6" x14ac:dyDescent="0.25">
      <c r="A20" s="9">
        <f>A7</f>
        <v>0</v>
      </c>
      <c r="B20" s="10">
        <f>C7</f>
        <v>0</v>
      </c>
      <c r="C20" s="10">
        <f>D7</f>
        <v>0</v>
      </c>
      <c r="D20" s="10">
        <f>C11</f>
        <v>3.13</v>
      </c>
      <c r="E20" s="14">
        <f t="shared" si="5"/>
        <v>0.626</v>
      </c>
      <c r="F20" s="9" t="str">
        <f t="shared" si="6"/>
        <v>Needs Improvement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2026-10-09T13:23:42Z</dcterms:modified>
</cp:coreProperties>
</file>