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aquel_HRD\"/>
    </mc:Choice>
  </mc:AlternateContent>
  <xr:revisionPtr revIDLastSave="0" documentId="13_ncr:1_{E0F1F6BD-C03F-432F-9915-C64CD5D400EC}" xr6:coauthVersionLast="47" xr6:coauthVersionMax="47" xr10:uidLastSave="{00000000-0000-0000-0000-000000000000}"/>
  <bookViews>
    <workbookView xWindow="-110" yWindow="-110" windowWidth="19420" windowHeight="11020" xr2:uid="{22A5745B-9E59-4E91-9FA4-3C7DB1ABB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F3" i="1" s="1"/>
  <c r="C15" i="1"/>
  <c r="B15" i="1"/>
  <c r="E5" i="1"/>
  <c r="F5" i="1" s="1"/>
  <c r="C18" i="1"/>
  <c r="B18" i="1"/>
  <c r="A18" i="1"/>
  <c r="C11" i="1"/>
  <c r="D17" i="1" s="1"/>
  <c r="B11" i="1"/>
  <c r="C17" i="1"/>
  <c r="C16" i="1"/>
  <c r="B17" i="1"/>
  <c r="B16" i="1"/>
  <c r="A17" i="1"/>
  <c r="A16" i="1"/>
  <c r="E4" i="1"/>
  <c r="F4" i="1" s="1"/>
  <c r="D16" i="1" l="1"/>
  <c r="E16" i="1" s="1"/>
  <c r="F16" i="1" s="1"/>
  <c r="D18" i="1"/>
  <c r="E18" i="1" s="1"/>
  <c r="F18" i="1" s="1"/>
  <c r="E17" i="1"/>
  <c r="F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Justine Rovira</author>
  </authors>
  <commentList>
    <comment ref="C10" authorId="0" shapeId="0" xr:uid="{7231A954-B562-4049-B66C-0365C4EEEBC7}">
      <text>
        <r>
          <rPr>
            <b/>
            <sz val="9"/>
            <color indexed="81"/>
            <rFont val="Tahoma"/>
            <charset val="1"/>
          </rPr>
          <t xml:space="preserve">Average of Self Core Values within the department
</t>
        </r>
      </text>
    </comment>
    <comment ref="E15" authorId="0" shapeId="0" xr:uid="{556B91CA-F9AB-48B3-957A-8014E5D48BE0}">
      <text>
        <r>
          <rPr>
            <b/>
            <sz val="9"/>
            <color indexed="81"/>
            <rFont val="Tahoma"/>
            <charset val="1"/>
          </rPr>
          <t xml:space="preserve">Final Score absorbed by the system
</t>
        </r>
      </text>
    </comment>
  </commentList>
</comments>
</file>

<file path=xl/sharedStrings.xml><?xml version="1.0" encoding="utf-8"?>
<sst xmlns="http://schemas.openxmlformats.org/spreadsheetml/2006/main" count="21" uniqueCount="19">
  <si>
    <t>Rating Scale</t>
  </si>
  <si>
    <t>1.00–4.00</t>
  </si>
  <si>
    <t>KRA Weight</t>
  </si>
  <si>
    <t>Behavior Weight</t>
  </si>
  <si>
    <t>Employee</t>
  </si>
  <si>
    <t>Position</t>
  </si>
  <si>
    <t>Status</t>
  </si>
  <si>
    <t>Department</t>
  </si>
  <si>
    <t>Team Size</t>
  </si>
  <si>
    <t>Final Shared Behavior</t>
  </si>
  <si>
    <t>Human Resource Department</t>
  </si>
  <si>
    <t>If the latest Shared Behavior is applied to all employees:</t>
  </si>
  <si>
    <t>Final Score</t>
  </si>
  <si>
    <t>Rating</t>
  </si>
  <si>
    <t>Final Department State (after all employees complete)</t>
  </si>
  <si>
    <t>Self Core Values</t>
  </si>
  <si>
    <t>Self KRA</t>
  </si>
  <si>
    <t>Score</t>
  </si>
  <si>
    <t>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</si>
</sst>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0"/>
      <color rgb="FF0F172A"/>
      <name val="Segoe UI"/>
      <family val="2"/>
    </font>
    <font>
      <sz val="10"/>
      <color theme="1"/>
      <name val="Aptos Narrow"/>
      <family val="2"/>
      <scheme val="minor"/>
    </font>
    <font>
      <b/>
      <sz val="10"/>
      <color rgb="FF0F172A"/>
      <name val="Segoe UI"/>
      <family val="2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B1C1-F953-4E33-A206-594A5C40587D}">
  <dimension ref="A1:H20"/>
  <sheetViews>
    <sheetView tabSelected="1" workbookViewId="0">
      <selection activeCell="E3" sqref="E3"/>
    </sheetView>
  </sheetViews>
  <sheetFormatPr defaultColWidth="26" defaultRowHeight="14.5" x14ac:dyDescent="0.35"/>
  <cols>
    <col min="1" max="1" width="52.1796875" bestFit="1" customWidth="1"/>
    <col min="2" max="2" width="10.7265625" bestFit="1" customWidth="1"/>
    <col min="3" max="4" width="20.453125" bestFit="1" customWidth="1"/>
    <col min="5" max="5" width="10.54296875" bestFit="1" customWidth="1"/>
    <col min="6" max="6" width="19.81640625" bestFit="1" customWidth="1"/>
    <col min="7" max="7" width="13.54296875" customWidth="1"/>
    <col min="8" max="8" width="12" customWidth="1"/>
  </cols>
  <sheetData>
    <row r="1" spans="1:8" x14ac:dyDescent="0.35">
      <c r="A1" s="9" t="s">
        <v>0</v>
      </c>
      <c r="B1" s="9" t="s">
        <v>1</v>
      </c>
      <c r="C1" s="9"/>
      <c r="D1" s="9" t="s">
        <v>2</v>
      </c>
      <c r="E1" s="12">
        <v>0.8</v>
      </c>
      <c r="F1" s="9" t="s">
        <v>3</v>
      </c>
      <c r="G1" s="12">
        <v>0.2</v>
      </c>
    </row>
    <row r="2" spans="1:8" x14ac:dyDescent="0.35">
      <c r="A2" s="11" t="s">
        <v>4</v>
      </c>
      <c r="B2" s="11" t="s">
        <v>5</v>
      </c>
      <c r="C2" s="11" t="s">
        <v>16</v>
      </c>
      <c r="D2" s="11" t="s">
        <v>15</v>
      </c>
      <c r="E2" s="11" t="s">
        <v>17</v>
      </c>
      <c r="F2" s="11" t="s">
        <v>6</v>
      </c>
      <c r="G2" s="1"/>
      <c r="H2" s="1"/>
    </row>
    <row r="3" spans="1:8" ht="16" x14ac:dyDescent="0.45">
      <c r="A3" s="18" t="s">
        <v>18</v>
      </c>
      <c r="B3" s="16"/>
      <c r="C3" s="17">
        <v>3.35</v>
      </c>
      <c r="D3" s="17">
        <v>3.5</v>
      </c>
      <c r="E3" s="7">
        <f>C3*$E$1+D3*$G$1</f>
        <v>3.3800000000000003</v>
      </c>
      <c r="F3" s="6" t="str">
        <f>IF(E3&gt;=3.6,"Outstanding",
 IF(E3&gt;=2.6,"Exceeds Expectations",
 IF(E3&gt;=2,"Meets Expectations","Needs Improvement")))</f>
        <v>Exceeds Expectations</v>
      </c>
      <c r="G3" s="1"/>
      <c r="H3" s="1"/>
    </row>
    <row r="4" spans="1:8" ht="16" x14ac:dyDescent="0.45">
      <c r="A4" s="18"/>
      <c r="B4" s="16"/>
      <c r="C4" s="17"/>
      <c r="D4" s="17"/>
      <c r="E4" s="7">
        <f>C4*$E$1+D4*$G$1</f>
        <v>0</v>
      </c>
      <c r="F4" s="6" t="str">
        <f t="shared" ref="F4:F5" si="0">IF(E4&gt;=3.6,"Outstanding",
 IF(E4&gt;=2.6,"Exceeds Expectations",
 IF(E4&gt;=2,"Meets Expectations","Needs Improvement")))</f>
        <v>Needs Improvement</v>
      </c>
      <c r="G4" s="1"/>
      <c r="H4" s="1"/>
    </row>
    <row r="5" spans="1:8" ht="16" x14ac:dyDescent="0.45">
      <c r="A5" s="18"/>
      <c r="B5" s="16"/>
      <c r="C5" s="17"/>
      <c r="D5" s="17"/>
      <c r="E5" s="7">
        <f>C5*$E$1+D5*$G$1</f>
        <v>0</v>
      </c>
      <c r="F5" s="6" t="str">
        <f t="shared" si="0"/>
        <v>Needs Improvement</v>
      </c>
      <c r="G5" s="1"/>
      <c r="H5" s="1"/>
    </row>
    <row r="6" spans="1:8" ht="16" x14ac:dyDescent="0.45">
      <c r="A6" s="18"/>
      <c r="B6" s="16"/>
      <c r="C6" s="17"/>
      <c r="D6" s="15"/>
      <c r="E6" s="6"/>
      <c r="F6" s="19"/>
    </row>
    <row r="7" spans="1:8" ht="16" x14ac:dyDescent="0.45">
      <c r="A7" s="18"/>
      <c r="B7" s="16"/>
      <c r="C7" s="17"/>
      <c r="D7" s="17"/>
      <c r="E7" s="6"/>
      <c r="F7" s="19"/>
    </row>
    <row r="8" spans="1:8" x14ac:dyDescent="0.35">
      <c r="A8" s="2" t="s">
        <v>14</v>
      </c>
    </row>
    <row r="10" spans="1:8" x14ac:dyDescent="0.35">
      <c r="A10" s="8" t="s">
        <v>7</v>
      </c>
      <c r="B10" s="8" t="s">
        <v>8</v>
      </c>
      <c r="C10" s="8" t="s">
        <v>9</v>
      </c>
    </row>
    <row r="11" spans="1:8" x14ac:dyDescent="0.35">
      <c r="A11" s="9" t="s">
        <v>10</v>
      </c>
      <c r="B11" s="9">
        <f>COUNTA(A3:A7)</f>
        <v>1</v>
      </c>
      <c r="C11" s="10">
        <f>AVERAGE(D3:D7)</f>
        <v>3.5</v>
      </c>
    </row>
    <row r="12" spans="1:8" x14ac:dyDescent="0.35">
      <c r="A12" s="1"/>
      <c r="B12" s="1"/>
      <c r="C12" s="1"/>
    </row>
    <row r="13" spans="1:8" x14ac:dyDescent="0.35">
      <c r="A13" s="3" t="s">
        <v>11</v>
      </c>
      <c r="B13" s="4"/>
      <c r="C13" s="5"/>
    </row>
    <row r="15" spans="1:8" x14ac:dyDescent="0.35">
      <c r="A15" s="13" t="s">
        <v>4</v>
      </c>
      <c r="B15" s="13" t="str">
        <f>C2</f>
        <v>Self KRA</v>
      </c>
      <c r="C15" s="13" t="str">
        <f>D2</f>
        <v>Self Core Values</v>
      </c>
      <c r="D15" s="13" t="s">
        <v>9</v>
      </c>
      <c r="E15" s="13" t="s">
        <v>12</v>
      </c>
      <c r="F15" s="13" t="s">
        <v>13</v>
      </c>
    </row>
    <row r="16" spans="1:8" x14ac:dyDescent="0.35">
      <c r="A16" s="9" t="str">
        <f>A3</f>
        <v>liana</v>
      </c>
      <c r="B16" s="10">
        <f t="shared" ref="B16:C18" si="1">C3</f>
        <v>3.35</v>
      </c>
      <c r="C16" s="10">
        <f t="shared" si="1"/>
        <v>3.5</v>
      </c>
      <c r="D16" s="10">
        <f>$C$11</f>
        <v>3.5</v>
      </c>
      <c r="E16" s="14">
        <f>B16*$E$1+D16*$G$1</f>
        <v>3.3800000000000003</v>
      </c>
      <c r="F16" s="9" t="str">
        <f>IF(E16&gt;=3.6,"Outstanding",
 IF(E16&gt;=2.6,"Exceeds Expectations",
 IF(E16&gt;=2,"Meets Expectations","Needs Improvement")))</f>
        <v>Exceeds Expectations</v>
      </c>
    </row>
    <row r="17" spans="1:6" x14ac:dyDescent="0.35">
      <c r="A17" s="9">
        <f>A4</f>
        <v>0</v>
      </c>
      <c r="B17" s="10">
        <f t="shared" si="1"/>
        <v>0</v>
      </c>
      <c r="C17" s="10">
        <f t="shared" si="1"/>
        <v>0</v>
      </c>
      <c r="D17" s="10">
        <f t="shared" ref="D17:D18" si="2">$C$11</f>
        <v>3.5</v>
      </c>
      <c r="E17" s="14">
        <f>B17*$E$1+D17*$G$1</f>
        <v>0.70000000000000007</v>
      </c>
      <c r="F17" s="9" t="str">
        <f t="shared" ref="F17:F18" si="3">IF(E17&gt;=3.6,"Outstanding",
 IF(E17&gt;=2.6,"Exceeds Expectations",
 IF(E17&gt;=2,"Meets Expectations","Needs Improvement")))</f>
        <v>Needs Improvement</v>
      </c>
    </row>
    <row r="18" spans="1:6" x14ac:dyDescent="0.35">
      <c r="A18" s="9">
        <f>A5</f>
        <v>0</v>
      </c>
      <c r="B18" s="10">
        <f t="shared" si="1"/>
        <v>0</v>
      </c>
      <c r="C18" s="10">
        <f t="shared" si="1"/>
        <v>0</v>
      </c>
      <c r="D18" s="10">
        <f t="shared" si="2"/>
        <v>3.5</v>
      </c>
      <c r="E18" s="14">
        <f>B18*$E$1+D18*$G$1</f>
        <v>0.70000000000000007</v>
      </c>
      <c r="F18" s="9" t="str">
        <f t="shared" si="3"/>
        <v>Needs Improvement</v>
      </c>
    </row>
    <row r="19" spans="1:6" x14ac:dyDescent="0.35">
      <c r="A19" s="9"/>
      <c r="B19" s="10"/>
      <c r="C19" s="10"/>
      <c r="D19" s="10"/>
      <c r="E19" s="14"/>
      <c r="F19" s="9"/>
    </row>
    <row r="20" spans="1:6" x14ac:dyDescent="0.35">
      <c r="A20" s="9"/>
      <c r="B20" s="10"/>
      <c r="C20" s="10"/>
      <c r="D20" s="10"/>
      <c r="E20" s="14"/>
      <c r="F20" s="9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Rovira</dc:creator>
  <cp:lastModifiedBy>Justine Rovira</cp:lastModifiedBy>
  <dcterms:created xsi:type="dcterms:W3CDTF">2026-09-27T23:00:01Z</dcterms:created>
  <dcterms:modified xsi:type="dcterms:W3CDTF">2026-10-13T15:07:20Z</dcterms:modified>
</cp:coreProperties>
</file>