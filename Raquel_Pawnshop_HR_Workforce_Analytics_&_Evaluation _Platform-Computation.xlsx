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69B77C67-A206-4ACD-AC6D-BC850686C187}" xr6:coauthVersionLast="47" xr6:coauthVersionMax="47" xr10:uidLastSave="{00000000-0000-0000-0000-000000000000}"/>
  <bookViews>
    <workbookView xWindow="-110" yWindow="-110" windowWidth="19420" windowHeight="11020" activeTab="1" xr2:uid="{22A5745B-9E59-4E91-9FA4-3C7DB1ABBFEE}"/>
  </bookViews>
  <sheets>
    <sheet name="manual" sheetId="2" r:id="rId1"/>
    <sheet name="KRA" sheetId="6" r:id="rId2"/>
    <sheet name="Behavior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" i="6" l="1"/>
  <c r="I3" i="6"/>
  <c r="N4" i="6"/>
  <c r="N5" i="6"/>
  <c r="L2" i="6"/>
  <c r="K2" i="6"/>
  <c r="O3" i="6"/>
  <c r="O4" i="6"/>
  <c r="O5" i="6"/>
  <c r="O2" i="6"/>
  <c r="M2" i="6"/>
  <c r="F3" i="6"/>
  <c r="F4" i="6"/>
  <c r="F5" i="6"/>
  <c r="F6" i="6"/>
  <c r="F7" i="6"/>
  <c r="F8" i="6"/>
  <c r="F9" i="6"/>
  <c r="F10" i="6"/>
  <c r="F11" i="6"/>
  <c r="F12" i="6"/>
  <c r="F2" i="6"/>
  <c r="I2" i="6" s="1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40" i="6"/>
  <c r="J2" i="6"/>
  <c r="J5" i="6"/>
  <c r="M5" i="6"/>
  <c r="L5" i="6"/>
  <c r="B76" i="6"/>
  <c r="B57" i="6"/>
  <c r="B38" i="6"/>
  <c r="H5" i="6"/>
  <c r="H4" i="6"/>
  <c r="H3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59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21" i="6"/>
  <c r="H2" i="6"/>
  <c r="B19" i="6"/>
  <c r="B15" i="7"/>
  <c r="D15" i="7" s="1"/>
  <c r="B10" i="7"/>
  <c r="D10" i="7" s="1"/>
  <c r="D5" i="7"/>
  <c r="B5" i="7"/>
  <c r="M20" i="7"/>
  <c r="M19" i="7"/>
  <c r="M18" i="7"/>
  <c r="M17" i="7"/>
  <c r="A15" i="7"/>
  <c r="A14" i="7"/>
  <c r="A13" i="7"/>
  <c r="A12" i="7"/>
  <c r="D4" i="7" s="1"/>
  <c r="A10" i="7"/>
  <c r="A9" i="7"/>
  <c r="A8" i="7"/>
  <c r="A7" i="7"/>
  <c r="A5" i="7"/>
  <c r="A4" i="7"/>
  <c r="A3" i="7"/>
  <c r="A2" i="7"/>
  <c r="M15" i="7"/>
  <c r="K4" i="6" s="1"/>
  <c r="M10" i="7"/>
  <c r="K3" i="6" s="1"/>
  <c r="M5" i="7"/>
  <c r="M13" i="7"/>
  <c r="M14" i="7"/>
  <c r="M4" i="6" s="1"/>
  <c r="M3" i="7"/>
  <c r="M4" i="7"/>
  <c r="M7" i="7"/>
  <c r="M8" i="7"/>
  <c r="M9" i="7"/>
  <c r="L3" i="6" s="1"/>
  <c r="M12" i="7"/>
  <c r="J4" i="6" s="1"/>
  <c r="M2" i="7"/>
  <c r="H2" i="2"/>
  <c r="C19" i="2"/>
  <c r="B19" i="2"/>
  <c r="F10" i="2"/>
  <c r="I2" i="2" s="1"/>
  <c r="P3" i="6" l="1"/>
  <c r="N12" i="7"/>
  <c r="J3" i="6"/>
  <c r="N7" i="7"/>
  <c r="N2" i="7"/>
  <c r="I4" i="6"/>
  <c r="P4" i="6" s="1"/>
  <c r="P2" i="6"/>
  <c r="N17" i="7"/>
  <c r="I5" i="6"/>
  <c r="B20" i="7"/>
  <c r="D20" i="7" s="1"/>
  <c r="B9" i="7"/>
  <c r="D9" i="7" s="1"/>
  <c r="B4" i="7"/>
  <c r="B19" i="7"/>
  <c r="D19" i="7" s="1"/>
  <c r="D3" i="7"/>
  <c r="B3" i="7"/>
  <c r="B14" i="7"/>
  <c r="D14" i="7" s="1"/>
  <c r="B18" i="7"/>
  <c r="D18" i="7" s="1"/>
  <c r="B13" i="7"/>
  <c r="D13" i="7" s="1"/>
  <c r="B8" i="7"/>
  <c r="D8" i="7" s="1"/>
  <c r="L2" i="2"/>
  <c r="P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tc={1EE0DF82-D8E5-4C09-A57A-3192F3074DD5}</author>
    <author>tc={B9AE4759-5DD3-438E-A54B-5DADB85D70F8}</author>
  </authors>
  <commentList>
    <comment ref="E39" authorId="0" shapeId="0" xr:uid="{1EE0DF82-D8E5-4C09-A57A-3192F3074DD5}">
      <text>
        <t>[Threaded comment]
Your version of Excel allows you to read this threaded comment; however, any edits to it will get removed if the file is opened in a newer version of Excel. Learn more: https://go.microsoft.com/fwlink/?linkid=870924
Comment:
    AP Manager</t>
      </text>
    </comment>
    <comment ref="E58" authorId="1" shapeId="0" xr:uid="{B9AE4759-5DD3-438E-A54B-5DADB85D70F8}">
      <text>
        <t>[Threaded comment]
Your version of Excel allows you to read this threaded comment; however, any edits to it will get removed if the file is opened in a newer version of Excel. Learn more: https://go.microsoft.com/fwlink/?linkid=870924
Comment:
    AP SUPERVISOR</t>
      </text>
    </comment>
  </commentList>
</comments>
</file>

<file path=xl/sharedStrings.xml><?xml version="1.0" encoding="utf-8"?>
<sst xmlns="http://schemas.openxmlformats.org/spreadsheetml/2006/main" count="202" uniqueCount="64">
  <si>
    <t>KRA Weight</t>
  </si>
  <si>
    <t>Employee</t>
  </si>
  <si>
    <t>Final Score</t>
  </si>
  <si>
    <t>Rating</t>
  </si>
  <si>
    <t>KRA Items</t>
  </si>
  <si>
    <t>Weight</t>
  </si>
  <si>
    <t>Core Behavior &amp; values</t>
  </si>
  <si>
    <t>KRA 1</t>
  </si>
  <si>
    <t>Core Item 1</t>
  </si>
  <si>
    <t>KRA 2</t>
  </si>
  <si>
    <t xml:space="preserve">Core Item 2 </t>
  </si>
  <si>
    <t>KRA 3</t>
  </si>
  <si>
    <t>Core Item 3</t>
  </si>
  <si>
    <t>KRA 4</t>
  </si>
  <si>
    <t>Core Item 4</t>
  </si>
  <si>
    <t>KRA 5</t>
  </si>
  <si>
    <t>Core Item 5</t>
  </si>
  <si>
    <t>KRA 6</t>
  </si>
  <si>
    <t>Core Item 6</t>
  </si>
  <si>
    <t>KRA 7</t>
  </si>
  <si>
    <t>Core Item 7</t>
  </si>
  <si>
    <t>KRA 8</t>
  </si>
  <si>
    <t>Core Item 8</t>
  </si>
  <si>
    <t>KRA 9</t>
  </si>
  <si>
    <t>KRA 10</t>
  </si>
  <si>
    <t>KRA 11</t>
  </si>
  <si>
    <t>KRA 12</t>
  </si>
  <si>
    <t>KRA 13</t>
  </si>
  <si>
    <t>KRA 14</t>
  </si>
  <si>
    <t>KRA 15</t>
  </si>
  <si>
    <t>KRA 16</t>
  </si>
  <si>
    <t>KRA 17</t>
  </si>
  <si>
    <t>KRA Subtotal</t>
  </si>
  <si>
    <t>Core Values Average</t>
  </si>
  <si>
    <t>Core Values Weight</t>
  </si>
  <si>
    <t>AVERAGE</t>
  </si>
  <si>
    <t>Criterion</t>
  </si>
  <si>
    <t>Self-rating</t>
  </si>
  <si>
    <t>Head-reviewed rating</t>
  </si>
  <si>
    <t>Effective rating</t>
  </si>
  <si>
    <t>Employee being rated</t>
  </si>
  <si>
    <t>Rater</t>
  </si>
  <si>
    <t>Type</t>
  </si>
  <si>
    <t>Respect</t>
  </si>
  <si>
    <t>Accountability</t>
  </si>
  <si>
    <t>Commitment</t>
  </si>
  <si>
    <t>Teamwork</t>
  </si>
  <si>
    <t>Integrity</t>
  </si>
  <si>
    <t>Self</t>
  </si>
  <si>
    <t>Department 360</t>
  </si>
  <si>
    <t>Positive</t>
  </si>
  <si>
    <t>Improvement</t>
  </si>
  <si>
    <t>Client experience</t>
  </si>
  <si>
    <t>KRA</t>
  </si>
  <si>
    <t>Core Values &amp; Behaviors</t>
  </si>
  <si>
    <t>VP FOR ACQUIRED PROPERTIES</t>
  </si>
  <si>
    <t>ANNUAL EVALUATION FOR AP DEPARTMENT AS EXAMPLE</t>
  </si>
  <si>
    <t>AP MANAGER</t>
  </si>
  <si>
    <t>AP SUPERVISOR</t>
  </si>
  <si>
    <t>AP STAFF</t>
  </si>
  <si>
    <t>self</t>
  </si>
  <si>
    <t>FINAL SCORE</t>
  </si>
  <si>
    <t>CORE AVERAGE</t>
  </si>
  <si>
    <t>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</si>
</sst>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9" fontId="2" fillId="0" borderId="0" xfId="0" applyNumberFormat="1" applyFont="1" applyAlignment="1">
      <alignment vertical="center"/>
    </xf>
    <xf numFmtId="2" fontId="0" fillId="0" borderId="0" xfId="0" applyNumberFormat="1"/>
    <xf numFmtId="9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2" fontId="2" fillId="2" borderId="0" xfId="0" applyNumberFormat="1" applyFont="1" applyFill="1" applyAlignment="1">
      <alignment vertical="center"/>
    </xf>
    <xf numFmtId="2" fontId="0" fillId="4" borderId="0" xfId="0" applyNumberFormat="1" applyFill="1"/>
    <xf numFmtId="164" fontId="0" fillId="2" borderId="0" xfId="0" applyNumberFormat="1" applyFill="1"/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2" fontId="0" fillId="3" borderId="0" xfId="0" applyNumberFormat="1" applyFill="1"/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9" fontId="1" fillId="0" borderId="1" xfId="0" applyNumberFormat="1" applyFont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9" fontId="1" fillId="0" borderId="2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 vertical="center" wrapText="1"/>
    </xf>
    <xf numFmtId="9" fontId="0" fillId="0" borderId="1" xfId="0" applyNumberFormat="1" applyFont="1" applyBorder="1" applyAlignment="1">
      <alignment horizontal="center"/>
    </xf>
    <xf numFmtId="0" fontId="0" fillId="0" borderId="1" xfId="0" applyFont="1" applyBorder="1"/>
    <xf numFmtId="0" fontId="1" fillId="0" borderId="3" xfId="0" applyFont="1" applyBorder="1" applyAlignment="1">
      <alignment horizontal="center"/>
    </xf>
    <xf numFmtId="9" fontId="1" fillId="0" borderId="3" xfId="0" applyNumberFormat="1" applyFont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ustine Rovira" id="{C0216573-625A-4627-93D0-E082AF101D2D}" userId="39a1884891b195ef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39" dT="2026-10-26T01:54:18.15" personId="{C0216573-625A-4627-93D0-E082AF101D2D}" id="{1EE0DF82-D8E5-4C09-A57A-3192F3074DD5}">
    <text>AP Manager</text>
  </threadedComment>
  <threadedComment ref="E58" dT="2026-10-26T01:19:19.27" personId="{C0216573-625A-4627-93D0-E082AF101D2D}" id="{B9AE4759-5DD3-438E-A54B-5DADB85D70F8}">
    <text>AP SUPERVISOR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D037B-B578-4EA5-923C-168A9DE23B26}">
  <dimension ref="A1:N19"/>
  <sheetViews>
    <sheetView zoomScale="85" zoomScaleNormal="85" workbookViewId="0">
      <selection activeCell="J2" sqref="J2"/>
    </sheetView>
  </sheetViews>
  <sheetFormatPr defaultColWidth="7" defaultRowHeight="14.5"/>
  <cols>
    <col min="1" max="1" width="8.90625" bestFit="1" customWidth="1"/>
    <col min="3" max="3" width="5.90625" bestFit="1" customWidth="1"/>
    <col min="5" max="5" width="19.36328125" bestFit="1" customWidth="1"/>
    <col min="6" max="6" width="5.90625" bestFit="1" customWidth="1"/>
    <col min="8" max="8" width="16.26953125" bestFit="1" customWidth="1"/>
    <col min="9" max="9" width="17.54296875" bestFit="1" customWidth="1"/>
    <col min="10" max="10" width="10" bestFit="1" customWidth="1"/>
    <col min="11" max="11" width="16.6328125" bestFit="1" customWidth="1"/>
    <col min="12" max="12" width="9.7265625" bestFit="1" customWidth="1"/>
    <col min="14" max="14" width="9" bestFit="1" customWidth="1"/>
  </cols>
  <sheetData>
    <row r="1" spans="1:14">
      <c r="A1" t="s">
        <v>4</v>
      </c>
      <c r="B1" t="s">
        <v>5</v>
      </c>
      <c r="C1" t="s">
        <v>3</v>
      </c>
      <c r="E1" t="s">
        <v>6</v>
      </c>
      <c r="F1" t="s">
        <v>3</v>
      </c>
      <c r="H1" t="s">
        <v>32</v>
      </c>
      <c r="I1" t="s">
        <v>33</v>
      </c>
      <c r="J1" t="s">
        <v>0</v>
      </c>
      <c r="K1" t="s">
        <v>34</v>
      </c>
      <c r="L1" t="s">
        <v>2</v>
      </c>
    </row>
    <row r="2" spans="1:14">
      <c r="A2" t="s">
        <v>7</v>
      </c>
      <c r="B2" s="12">
        <v>0.3</v>
      </c>
      <c r="C2">
        <v>4</v>
      </c>
      <c r="D2" s="11"/>
      <c r="E2" t="s">
        <v>8</v>
      </c>
      <c r="F2" s="8">
        <v>1</v>
      </c>
      <c r="H2" s="13">
        <f>SUMPRODUCT(B2:B18,C2:C18)</f>
        <v>2.9000000000000004</v>
      </c>
      <c r="I2" s="15">
        <f>F10/8</f>
        <v>3.375</v>
      </c>
      <c r="J2" s="6">
        <v>0.8</v>
      </c>
      <c r="K2" s="6">
        <v>0.2</v>
      </c>
      <c r="L2" s="14">
        <f>(H2*J2)+(I2*K2)</f>
        <v>2.9950000000000001</v>
      </c>
      <c r="M2" s="4"/>
      <c r="N2" s="12"/>
    </row>
    <row r="3" spans="1:14">
      <c r="A3" t="s">
        <v>9</v>
      </c>
      <c r="B3" s="12">
        <v>0.3</v>
      </c>
      <c r="C3">
        <v>1</v>
      </c>
      <c r="D3" s="11"/>
      <c r="E3" t="s">
        <v>10</v>
      </c>
      <c r="F3" s="8">
        <v>3</v>
      </c>
      <c r="M3" s="4"/>
      <c r="N3" s="12"/>
    </row>
    <row r="4" spans="1:14">
      <c r="A4" t="s">
        <v>11</v>
      </c>
      <c r="B4" s="12">
        <v>0.2</v>
      </c>
      <c r="C4">
        <v>3</v>
      </c>
      <c r="D4" s="11"/>
      <c r="E4" t="s">
        <v>12</v>
      </c>
      <c r="F4" s="8">
        <v>4</v>
      </c>
      <c r="I4" s="5"/>
      <c r="M4" s="4"/>
      <c r="N4" s="12"/>
    </row>
    <row r="5" spans="1:14">
      <c r="A5" t="s">
        <v>13</v>
      </c>
      <c r="B5" s="12">
        <v>0.2</v>
      </c>
      <c r="C5">
        <v>4</v>
      </c>
      <c r="D5" s="11"/>
      <c r="E5" t="s">
        <v>14</v>
      </c>
      <c r="F5" s="8">
        <v>4</v>
      </c>
      <c r="I5" s="4"/>
      <c r="J5" s="12"/>
    </row>
    <row r="6" spans="1:14">
      <c r="A6" t="s">
        <v>15</v>
      </c>
      <c r="B6" s="12"/>
      <c r="D6" s="11"/>
      <c r="E6" t="s">
        <v>16</v>
      </c>
      <c r="F6" s="8">
        <v>4</v>
      </c>
      <c r="I6" s="4"/>
      <c r="J6" s="12"/>
    </row>
    <row r="7" spans="1:14">
      <c r="A7" t="s">
        <v>17</v>
      </c>
      <c r="B7" s="12"/>
      <c r="D7" s="11"/>
      <c r="E7" t="s">
        <v>18</v>
      </c>
      <c r="F7" s="8">
        <v>4</v>
      </c>
      <c r="I7" s="4"/>
      <c r="J7" s="12"/>
    </row>
    <row r="8" spans="1:14">
      <c r="A8" t="s">
        <v>19</v>
      </c>
      <c r="B8" s="12"/>
      <c r="D8" s="11"/>
      <c r="E8" t="s">
        <v>20</v>
      </c>
      <c r="F8" s="8">
        <v>3</v>
      </c>
      <c r="I8" s="4"/>
      <c r="J8" s="12"/>
    </row>
    <row r="9" spans="1:14">
      <c r="A9" t="s">
        <v>21</v>
      </c>
      <c r="B9" s="12"/>
      <c r="D9" s="11"/>
      <c r="E9" t="s">
        <v>22</v>
      </c>
      <c r="F9" s="8">
        <v>4</v>
      </c>
      <c r="M9" s="4"/>
      <c r="N9" s="12"/>
    </row>
    <row r="10" spans="1:14">
      <c r="A10" t="s">
        <v>23</v>
      </c>
      <c r="B10" s="12"/>
      <c r="D10" s="11"/>
      <c r="F10" s="7">
        <f>SUM(F2:F9)</f>
        <v>27</v>
      </c>
      <c r="M10" s="4"/>
      <c r="N10" s="12"/>
    </row>
    <row r="11" spans="1:14">
      <c r="A11" t="s">
        <v>24</v>
      </c>
      <c r="B11" s="12"/>
      <c r="D11" s="11"/>
      <c r="M11" s="4"/>
      <c r="N11" s="12"/>
    </row>
    <row r="12" spans="1:14">
      <c r="A12" t="s">
        <v>25</v>
      </c>
      <c r="B12" s="12"/>
      <c r="D12" s="11"/>
      <c r="M12" s="4"/>
      <c r="N12" s="12"/>
    </row>
    <row r="13" spans="1:14">
      <c r="A13" t="s">
        <v>26</v>
      </c>
      <c r="B13" s="12"/>
      <c r="D13" s="11"/>
      <c r="H13" s="4"/>
      <c r="I13" s="12"/>
    </row>
    <row r="14" spans="1:14">
      <c r="A14" t="s">
        <v>27</v>
      </c>
      <c r="B14" s="12"/>
      <c r="D14" s="11"/>
      <c r="H14" s="4"/>
      <c r="I14" s="12"/>
      <c r="K14" s="5"/>
    </row>
    <row r="15" spans="1:14">
      <c r="A15" t="s">
        <v>28</v>
      </c>
      <c r="B15" s="12"/>
      <c r="D15" s="11"/>
      <c r="H15" s="4"/>
      <c r="I15" s="12"/>
    </row>
    <row r="16" spans="1:14">
      <c r="A16" t="s">
        <v>29</v>
      </c>
      <c r="B16" s="12"/>
      <c r="D16" s="11"/>
      <c r="H16" s="4"/>
      <c r="I16" s="12"/>
    </row>
    <row r="17" spans="1:9">
      <c r="A17" t="s">
        <v>30</v>
      </c>
      <c r="B17" s="12"/>
      <c r="D17" s="11"/>
      <c r="H17" s="4"/>
      <c r="I17" s="12"/>
    </row>
    <row r="18" spans="1:9">
      <c r="A18" t="s">
        <v>31</v>
      </c>
      <c r="B18" s="12"/>
      <c r="D18" s="11"/>
      <c r="H18" s="4"/>
      <c r="I18" s="12"/>
    </row>
    <row r="19" spans="1:9">
      <c r="B19" s="6">
        <f>SUM(B2:B18)</f>
        <v>1</v>
      </c>
      <c r="C19" s="7">
        <f>SUM(C2:C18)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713E5-6216-4E2A-886D-99615C42A4FD}">
  <dimension ref="A1:P76"/>
  <sheetViews>
    <sheetView tabSelected="1" topLeftCell="E1" zoomScale="85" zoomScaleNormal="85" workbookViewId="0">
      <selection activeCell="J21" activeCellId="1" sqref="P2 J21"/>
    </sheetView>
  </sheetViews>
  <sheetFormatPr defaultColWidth="9.7265625" defaultRowHeight="14.5"/>
  <cols>
    <col min="1" max="1" width="27.81640625" style="2" bestFit="1" customWidth="1"/>
    <col min="2" max="2" width="8.453125" style="2" bestFit="1" customWidth="1"/>
    <col min="3" max="3" width="6.90625" style="2" bestFit="1" customWidth="1"/>
    <col min="4" max="4" width="9.7265625" style="2" bestFit="1" customWidth="1"/>
    <col min="5" max="5" width="19" style="2" bestFit="1" customWidth="1"/>
    <col min="6" max="6" width="13.54296875" style="2" bestFit="1" customWidth="1"/>
    <col min="7" max="7" width="4.36328125" style="2" bestFit="1" customWidth="1"/>
    <col min="8" max="8" width="27.81640625" style="2" bestFit="1" customWidth="1"/>
    <col min="9" max="9" width="4.7265625" style="2" bestFit="1" customWidth="1"/>
    <col min="10" max="10" width="49.36328125" style="2" bestFit="1" customWidth="1"/>
    <col min="11" max="11" width="8.6328125" style="2" bestFit="1" customWidth="1"/>
    <col min="12" max="12" width="14.54296875" style="2" bestFit="1" customWidth="1"/>
    <col min="13" max="13" width="12.1796875" style="2" bestFit="1" customWidth="1"/>
    <col min="14" max="14" width="13.7265625" style="2" bestFit="1" customWidth="1"/>
    <col min="15" max="15" width="14.26953125" style="2" bestFit="1" customWidth="1"/>
    <col min="16" max="16" width="12.1796875" style="2" bestFit="1" customWidth="1"/>
    <col min="17" max="16384" width="9.7265625" style="2"/>
  </cols>
  <sheetData>
    <row r="1" spans="1:16">
      <c r="A1" s="10" t="s">
        <v>1</v>
      </c>
      <c r="B1" s="10" t="s">
        <v>36</v>
      </c>
      <c r="C1" s="10" t="s">
        <v>5</v>
      </c>
      <c r="D1" s="10" t="s">
        <v>37</v>
      </c>
      <c r="E1" s="10" t="s">
        <v>38</v>
      </c>
      <c r="F1" s="10" t="s">
        <v>39</v>
      </c>
      <c r="H1" s="10" t="s">
        <v>1</v>
      </c>
      <c r="I1" s="10" t="s">
        <v>53</v>
      </c>
      <c r="J1" s="10" t="s">
        <v>54</v>
      </c>
      <c r="K1" s="18" t="s">
        <v>59</v>
      </c>
      <c r="L1" s="18" t="s">
        <v>58</v>
      </c>
      <c r="M1" s="18" t="s">
        <v>57</v>
      </c>
      <c r="N1" s="18" t="s">
        <v>63</v>
      </c>
      <c r="O1" s="18" t="s">
        <v>62</v>
      </c>
      <c r="P1" s="18" t="s">
        <v>61</v>
      </c>
    </row>
    <row r="2" spans="1:16">
      <c r="A2" s="21" t="s">
        <v>55</v>
      </c>
      <c r="B2" s="10" t="s">
        <v>7</v>
      </c>
      <c r="C2" s="22">
        <v>0.09</v>
      </c>
      <c r="D2" s="10">
        <v>4</v>
      </c>
      <c r="E2" s="10"/>
      <c r="F2" s="10">
        <f>IF(E2&lt;&gt;"",E2,IF(D2&lt;&gt;"",D2,""))</f>
        <v>4</v>
      </c>
      <c r="H2" s="18" t="str">
        <f>A2</f>
        <v>VP FOR ACQUIRED PROPERTIES</v>
      </c>
      <c r="I2" s="34">
        <f>ROUND(SUMPRODUCT(C2:C12,F2:F12),3)</f>
        <v>2.54</v>
      </c>
      <c r="J2" s="23">
        <f>Behavior!M2</f>
        <v>2.875</v>
      </c>
      <c r="K2" s="20">
        <f>Behavior!M5</f>
        <v>2.375</v>
      </c>
      <c r="L2" s="20">
        <f>Behavior!M4</f>
        <v>2.875</v>
      </c>
      <c r="M2" s="20">
        <f>Behavior!M3</f>
        <v>2.94625</v>
      </c>
      <c r="N2" s="18" t="s">
        <v>63</v>
      </c>
      <c r="O2" s="34">
        <f>AVERAGE(J2:N2)</f>
        <v>2.7678124999999998</v>
      </c>
      <c r="P2" s="34">
        <f>(I2*$I$9)+(O2*$J$9)</f>
        <v>2.5855625</v>
      </c>
    </row>
    <row r="3" spans="1:16">
      <c r="A3" s="21" t="s">
        <v>55</v>
      </c>
      <c r="B3" s="10" t="s">
        <v>9</v>
      </c>
      <c r="C3" s="22">
        <v>0.09</v>
      </c>
      <c r="D3" s="10">
        <v>3</v>
      </c>
      <c r="E3" s="10"/>
      <c r="F3" s="10">
        <f t="shared" ref="F3:F12" si="0">IF(E3&lt;&gt;"",E3,IF(D3&lt;&gt;"",D3,""))</f>
        <v>3</v>
      </c>
      <c r="H3" s="18" t="str">
        <f>A21</f>
        <v>AP MANAGER</v>
      </c>
      <c r="I3" s="34">
        <f>ROUND(SUMPRODUCT(C21:C31,F21:F31),2)</f>
        <v>3.34</v>
      </c>
      <c r="J3" s="20">
        <f>Behavior!M7</f>
        <v>2.5</v>
      </c>
      <c r="K3" s="23">
        <f>Behavior!M10</f>
        <v>2.875</v>
      </c>
      <c r="L3" s="20">
        <f>Behavior!M9</f>
        <v>3.5</v>
      </c>
      <c r="M3" s="18" t="s">
        <v>57</v>
      </c>
      <c r="N3" s="20">
        <f>Behavior!M8</f>
        <v>3.125</v>
      </c>
      <c r="O3" s="34">
        <f t="shared" ref="O3:O5" si="1">AVERAGE(J3:N3)</f>
        <v>3</v>
      </c>
      <c r="P3" s="34">
        <f>(I3*$I$9)+(O3*$J$9)</f>
        <v>3.2720000000000002</v>
      </c>
    </row>
    <row r="4" spans="1:16">
      <c r="A4" s="21" t="s">
        <v>55</v>
      </c>
      <c r="B4" s="10" t="s">
        <v>11</v>
      </c>
      <c r="C4" s="22">
        <v>0.09</v>
      </c>
      <c r="D4" s="10">
        <v>4</v>
      </c>
      <c r="E4" s="10"/>
      <c r="F4" s="10">
        <f t="shared" si="0"/>
        <v>4</v>
      </c>
      <c r="H4" s="18" t="str">
        <f>A40</f>
        <v>AP SUPERVISOR</v>
      </c>
      <c r="I4" s="34">
        <f>ROUND(SUMPRODUCT(C40:C50,F40:F50),3)</f>
        <v>3.3889999999999998</v>
      </c>
      <c r="J4" s="20">
        <f>Behavior!M12</f>
        <v>2.625</v>
      </c>
      <c r="K4" s="20">
        <f>Behavior!M15</f>
        <v>2.625</v>
      </c>
      <c r="L4" s="18" t="s">
        <v>58</v>
      </c>
      <c r="M4" s="20">
        <f>Behavior!M14</f>
        <v>3.1825000000000001</v>
      </c>
      <c r="N4" s="20">
        <f>Behavior!M13</f>
        <v>2.9837500000000001</v>
      </c>
      <c r="O4" s="34">
        <f t="shared" si="1"/>
        <v>2.8540625000000004</v>
      </c>
      <c r="P4" s="34">
        <f>(I4*$I$9)+(O4*$J$9)</f>
        <v>3.2820125</v>
      </c>
    </row>
    <row r="5" spans="1:16">
      <c r="A5" s="21" t="s">
        <v>55</v>
      </c>
      <c r="B5" s="10" t="s">
        <v>13</v>
      </c>
      <c r="C5" s="22">
        <v>0.09</v>
      </c>
      <c r="D5" s="10">
        <v>2</v>
      </c>
      <c r="E5" s="10"/>
      <c r="F5" s="10">
        <f t="shared" si="0"/>
        <v>2</v>
      </c>
      <c r="H5" s="18" t="str">
        <f>A59</f>
        <v>AP STAFF</v>
      </c>
      <c r="I5" s="34">
        <f>ROUND(SUMPRODUCT(C59:C69,F59:F69), 3)</f>
        <v>2.46</v>
      </c>
      <c r="J5" s="20">
        <f>Behavior!M17</f>
        <v>2.875</v>
      </c>
      <c r="K5" s="18" t="s">
        <v>59</v>
      </c>
      <c r="L5" s="23">
        <f>Behavior!M20</f>
        <v>2.25</v>
      </c>
      <c r="M5" s="20">
        <f>Behavior!M19</f>
        <v>2.25</v>
      </c>
      <c r="N5" s="20">
        <f>Behavior!M18</f>
        <v>2.34</v>
      </c>
      <c r="O5" s="34">
        <f t="shared" si="1"/>
        <v>2.42875</v>
      </c>
      <c r="P5" s="34">
        <f>(I5*$I$9)+(O5*$J$9)</f>
        <v>2.4537499999999999</v>
      </c>
    </row>
    <row r="6" spans="1:16">
      <c r="A6" s="21" t="s">
        <v>55</v>
      </c>
      <c r="B6" s="10" t="s">
        <v>15</v>
      </c>
      <c r="C6" s="22">
        <v>0.09</v>
      </c>
      <c r="D6" s="10">
        <v>1</v>
      </c>
      <c r="E6" s="10"/>
      <c r="F6" s="10">
        <f t="shared" si="0"/>
        <v>1</v>
      </c>
    </row>
    <row r="7" spans="1:16">
      <c r="A7" s="21" t="s">
        <v>55</v>
      </c>
      <c r="B7" s="10" t="s">
        <v>17</v>
      </c>
      <c r="C7" s="22">
        <v>0.09</v>
      </c>
      <c r="D7" s="10">
        <v>2</v>
      </c>
      <c r="E7" s="10"/>
      <c r="F7" s="10">
        <f t="shared" si="0"/>
        <v>2</v>
      </c>
    </row>
    <row r="8" spans="1:16">
      <c r="A8" s="21" t="s">
        <v>55</v>
      </c>
      <c r="B8" s="10" t="s">
        <v>19</v>
      </c>
      <c r="C8" s="22">
        <v>0.09</v>
      </c>
      <c r="D8" s="10">
        <v>2</v>
      </c>
      <c r="E8" s="10"/>
      <c r="F8" s="10">
        <f t="shared" si="0"/>
        <v>2</v>
      </c>
    </row>
    <row r="9" spans="1:16">
      <c r="A9" s="21" t="s">
        <v>55</v>
      </c>
      <c r="B9" s="10" t="s">
        <v>21</v>
      </c>
      <c r="C9" s="22">
        <v>0.09</v>
      </c>
      <c r="D9" s="10">
        <v>3</v>
      </c>
      <c r="E9" s="10"/>
      <c r="F9" s="10">
        <f t="shared" si="0"/>
        <v>3</v>
      </c>
      <c r="I9" s="25">
        <v>0.8</v>
      </c>
      <c r="J9" s="25">
        <v>0.2</v>
      </c>
    </row>
    <row r="10" spans="1:16">
      <c r="A10" s="21" t="s">
        <v>55</v>
      </c>
      <c r="B10" s="10" t="s">
        <v>23</v>
      </c>
      <c r="C10" s="22">
        <v>0.09</v>
      </c>
      <c r="D10" s="10">
        <v>2</v>
      </c>
      <c r="E10" s="10"/>
      <c r="F10" s="10">
        <f t="shared" si="0"/>
        <v>2</v>
      </c>
      <c r="J10" s="2" t="s">
        <v>56</v>
      </c>
    </row>
    <row r="11" spans="1:16">
      <c r="A11" s="21" t="s">
        <v>55</v>
      </c>
      <c r="B11" s="10" t="s">
        <v>24</v>
      </c>
      <c r="C11" s="22">
        <v>0.09</v>
      </c>
      <c r="D11" s="10">
        <v>3</v>
      </c>
      <c r="E11" s="10"/>
      <c r="F11" s="10">
        <f t="shared" si="0"/>
        <v>3</v>
      </c>
    </row>
    <row r="12" spans="1:16">
      <c r="A12" s="21" t="s">
        <v>55</v>
      </c>
      <c r="B12" s="10" t="s">
        <v>25</v>
      </c>
      <c r="C12" s="22">
        <v>0.1</v>
      </c>
      <c r="D12" s="10">
        <v>2</v>
      </c>
      <c r="E12" s="10"/>
      <c r="F12" s="10">
        <f t="shared" si="0"/>
        <v>2</v>
      </c>
    </row>
    <row r="13" spans="1:16">
      <c r="A13" s="31"/>
      <c r="B13" s="29"/>
      <c r="C13" s="30"/>
      <c r="D13" s="18"/>
      <c r="E13" s="18"/>
      <c r="F13" s="18"/>
    </row>
    <row r="14" spans="1:16">
      <c r="A14" s="31"/>
      <c r="B14" s="29"/>
      <c r="C14" s="30"/>
      <c r="D14" s="18"/>
      <c r="E14" s="18"/>
      <c r="F14" s="18"/>
    </row>
    <row r="15" spans="1:16">
      <c r="A15" s="31"/>
      <c r="B15" s="29"/>
      <c r="C15" s="30"/>
      <c r="D15" s="18"/>
      <c r="E15" s="18"/>
      <c r="F15" s="18"/>
    </row>
    <row r="16" spans="1:16">
      <c r="A16" s="31"/>
      <c r="B16" s="29"/>
      <c r="C16" s="30"/>
      <c r="D16" s="18"/>
      <c r="E16" s="18"/>
      <c r="F16" s="18"/>
    </row>
    <row r="17" spans="1:6">
      <c r="A17" s="31"/>
      <c r="B17" s="29"/>
      <c r="C17" s="30"/>
      <c r="D17" s="18"/>
      <c r="E17" s="18"/>
      <c r="F17" s="18"/>
    </row>
    <row r="18" spans="1:6">
      <c r="A18" s="31"/>
      <c r="B18" s="29"/>
      <c r="C18" s="30"/>
      <c r="D18" s="18"/>
      <c r="E18" s="18"/>
      <c r="F18" s="18"/>
    </row>
    <row r="19" spans="1:6">
      <c r="B19" s="28">
        <f>SUM(C2:C12)</f>
        <v>0.99999999999999978</v>
      </c>
      <c r="C19" s="27"/>
    </row>
    <row r="20" spans="1:6">
      <c r="A20" s="10" t="s">
        <v>1</v>
      </c>
      <c r="B20" s="10" t="s">
        <v>36</v>
      </c>
      <c r="C20" s="10" t="s">
        <v>5</v>
      </c>
      <c r="D20" s="10" t="s">
        <v>37</v>
      </c>
      <c r="E20" s="10" t="s">
        <v>38</v>
      </c>
      <c r="F20" s="10" t="s">
        <v>39</v>
      </c>
    </row>
    <row r="21" spans="1:6">
      <c r="A21" s="10" t="s">
        <v>57</v>
      </c>
      <c r="B21" s="10" t="s">
        <v>7</v>
      </c>
      <c r="C21" s="22">
        <v>0.09</v>
      </c>
      <c r="D21" s="10">
        <v>4</v>
      </c>
      <c r="E21" s="10">
        <v>2.94</v>
      </c>
      <c r="F21" s="10">
        <f>IF(E21&lt;&gt;"",E21,IF(D21&lt;&gt;"",D21,""))</f>
        <v>2.94</v>
      </c>
    </row>
    <row r="22" spans="1:6">
      <c r="A22" s="10" t="s">
        <v>57</v>
      </c>
      <c r="B22" s="10" t="s">
        <v>9</v>
      </c>
      <c r="C22" s="22">
        <v>0.09</v>
      </c>
      <c r="D22" s="10">
        <v>3</v>
      </c>
      <c r="E22" s="10">
        <v>2.2200000000000002</v>
      </c>
      <c r="F22" s="10">
        <f t="shared" ref="F22:F37" si="2">IF(E22&lt;&gt;"",E22,IF(D22&lt;&gt;"",D22,""))</f>
        <v>2.2200000000000002</v>
      </c>
    </row>
    <row r="23" spans="1:6">
      <c r="A23" s="10" t="s">
        <v>57</v>
      </c>
      <c r="B23" s="10" t="s">
        <v>11</v>
      </c>
      <c r="C23" s="22">
        <v>0.09</v>
      </c>
      <c r="D23" s="10">
        <v>2</v>
      </c>
      <c r="E23" s="10">
        <v>3.25</v>
      </c>
      <c r="F23" s="10">
        <f t="shared" si="2"/>
        <v>3.25</v>
      </c>
    </row>
    <row r="24" spans="1:6">
      <c r="A24" s="10" t="s">
        <v>57</v>
      </c>
      <c r="B24" s="10" t="s">
        <v>13</v>
      </c>
      <c r="C24" s="22">
        <v>0.09</v>
      </c>
      <c r="D24" s="10">
        <v>3</v>
      </c>
      <c r="E24" s="10">
        <v>3.24</v>
      </c>
      <c r="F24" s="10">
        <f t="shared" si="2"/>
        <v>3.24</v>
      </c>
    </row>
    <row r="25" spans="1:6">
      <c r="A25" s="10" t="s">
        <v>57</v>
      </c>
      <c r="B25" s="10" t="s">
        <v>15</v>
      </c>
      <c r="C25" s="22">
        <v>0.09</v>
      </c>
      <c r="D25" s="10">
        <v>2</v>
      </c>
      <c r="E25" s="10">
        <v>4</v>
      </c>
      <c r="F25" s="10">
        <f t="shared" si="2"/>
        <v>4</v>
      </c>
    </row>
    <row r="26" spans="1:6">
      <c r="A26" s="10" t="s">
        <v>57</v>
      </c>
      <c r="B26" s="10" t="s">
        <v>17</v>
      </c>
      <c r="C26" s="22">
        <v>0.09</v>
      </c>
      <c r="D26" s="10">
        <v>3</v>
      </c>
      <c r="E26" s="10">
        <v>4</v>
      </c>
      <c r="F26" s="10">
        <f t="shared" si="2"/>
        <v>4</v>
      </c>
    </row>
    <row r="27" spans="1:6">
      <c r="A27" s="10" t="s">
        <v>57</v>
      </c>
      <c r="B27" s="10" t="s">
        <v>19</v>
      </c>
      <c r="C27" s="22">
        <v>0.09</v>
      </c>
      <c r="D27" s="10">
        <v>3</v>
      </c>
      <c r="E27" s="10">
        <v>3</v>
      </c>
      <c r="F27" s="10">
        <f t="shared" si="2"/>
        <v>3</v>
      </c>
    </row>
    <row r="28" spans="1:6">
      <c r="A28" s="10" t="s">
        <v>57</v>
      </c>
      <c r="B28" s="10" t="s">
        <v>21</v>
      </c>
      <c r="C28" s="22">
        <v>0.09</v>
      </c>
      <c r="D28" s="10">
        <v>4</v>
      </c>
      <c r="E28" s="10">
        <v>4</v>
      </c>
      <c r="F28" s="10">
        <f t="shared" si="2"/>
        <v>4</v>
      </c>
    </row>
    <row r="29" spans="1:6">
      <c r="A29" s="10" t="s">
        <v>57</v>
      </c>
      <c r="B29" s="10" t="s">
        <v>23</v>
      </c>
      <c r="C29" s="22">
        <v>0.09</v>
      </c>
      <c r="D29" s="10">
        <v>2</v>
      </c>
      <c r="E29" s="10">
        <v>4</v>
      </c>
      <c r="F29" s="10">
        <f t="shared" si="2"/>
        <v>4</v>
      </c>
    </row>
    <row r="30" spans="1:6">
      <c r="A30" s="10" t="s">
        <v>57</v>
      </c>
      <c r="B30" s="10" t="s">
        <v>24</v>
      </c>
      <c r="C30" s="22">
        <v>0.09</v>
      </c>
      <c r="D30" s="10">
        <v>2</v>
      </c>
      <c r="E30" s="10">
        <v>3.18</v>
      </c>
      <c r="F30" s="10">
        <f t="shared" si="2"/>
        <v>3.18</v>
      </c>
    </row>
    <row r="31" spans="1:6">
      <c r="A31" s="10" t="s">
        <v>57</v>
      </c>
      <c r="B31" s="10" t="s">
        <v>25</v>
      </c>
      <c r="C31" s="22">
        <v>0.1</v>
      </c>
      <c r="D31" s="10">
        <v>3</v>
      </c>
      <c r="E31" s="10">
        <v>3</v>
      </c>
      <c r="F31" s="10">
        <f t="shared" si="2"/>
        <v>3</v>
      </c>
    </row>
    <row r="32" spans="1:6">
      <c r="A32" s="10"/>
      <c r="B32" s="10"/>
      <c r="C32" s="24"/>
      <c r="D32" s="18"/>
      <c r="E32" s="18"/>
      <c r="F32" s="10" t="str">
        <f t="shared" si="2"/>
        <v/>
      </c>
    </row>
    <row r="33" spans="1:6">
      <c r="A33" s="29"/>
      <c r="B33" s="29"/>
      <c r="C33" s="30"/>
      <c r="D33" s="18"/>
      <c r="E33" s="18"/>
      <c r="F33" s="10" t="str">
        <f t="shared" si="2"/>
        <v/>
      </c>
    </row>
    <row r="34" spans="1:6">
      <c r="A34" s="29"/>
      <c r="B34" s="29"/>
      <c r="C34" s="30"/>
      <c r="D34" s="18"/>
      <c r="E34" s="18"/>
      <c r="F34" s="10" t="str">
        <f t="shared" si="2"/>
        <v/>
      </c>
    </row>
    <row r="35" spans="1:6">
      <c r="A35" s="29"/>
      <c r="B35" s="29"/>
      <c r="C35" s="30"/>
      <c r="D35" s="18"/>
      <c r="E35" s="18"/>
      <c r="F35" s="10" t="str">
        <f t="shared" si="2"/>
        <v/>
      </c>
    </row>
    <row r="36" spans="1:6">
      <c r="A36" s="29"/>
      <c r="B36" s="29"/>
      <c r="C36" s="30"/>
      <c r="D36" s="18"/>
      <c r="E36" s="18"/>
      <c r="F36" s="10" t="str">
        <f t="shared" si="2"/>
        <v/>
      </c>
    </row>
    <row r="37" spans="1:6">
      <c r="A37" s="29"/>
      <c r="B37" s="29"/>
      <c r="C37" s="30"/>
      <c r="D37" s="18"/>
      <c r="E37" s="18"/>
      <c r="F37" s="10" t="str">
        <f t="shared" si="2"/>
        <v/>
      </c>
    </row>
    <row r="38" spans="1:6">
      <c r="B38" s="28">
        <f>SUM(C21:C31)</f>
        <v>0.99999999999999978</v>
      </c>
      <c r="C38" s="27"/>
    </row>
    <row r="39" spans="1:6">
      <c r="A39" s="10" t="s">
        <v>1</v>
      </c>
      <c r="B39" s="10" t="s">
        <v>36</v>
      </c>
      <c r="C39" s="10" t="s">
        <v>5</v>
      </c>
      <c r="D39" s="10" t="s">
        <v>37</v>
      </c>
      <c r="E39" s="10" t="s">
        <v>38</v>
      </c>
      <c r="F39" s="10" t="s">
        <v>39</v>
      </c>
    </row>
    <row r="40" spans="1:6">
      <c r="A40" s="10" t="s">
        <v>58</v>
      </c>
      <c r="B40" s="10" t="s">
        <v>7</v>
      </c>
      <c r="C40" s="22">
        <v>0.09</v>
      </c>
      <c r="D40" s="10">
        <v>4</v>
      </c>
      <c r="E40" s="10">
        <v>4</v>
      </c>
      <c r="F40" s="10">
        <f>IF(E40&lt;&gt;"",E40,IF(D40&lt;&gt;"",D40,""))</f>
        <v>4</v>
      </c>
    </row>
    <row r="41" spans="1:6">
      <c r="A41" s="10" t="s">
        <v>58</v>
      </c>
      <c r="B41" s="10" t="s">
        <v>9</v>
      </c>
      <c r="C41" s="22">
        <v>0.09</v>
      </c>
      <c r="D41" s="10">
        <v>2</v>
      </c>
      <c r="E41" s="10">
        <v>3</v>
      </c>
      <c r="F41" s="10">
        <f t="shared" ref="F41:F56" si="3">IF(E41&lt;&gt;"",E41,IF(D41&lt;&gt;"",D41,""))</f>
        <v>3</v>
      </c>
    </row>
    <row r="42" spans="1:6">
      <c r="A42" s="10" t="s">
        <v>58</v>
      </c>
      <c r="B42" s="10" t="s">
        <v>11</v>
      </c>
      <c r="C42" s="22">
        <v>0.09</v>
      </c>
      <c r="D42" s="10">
        <v>3</v>
      </c>
      <c r="E42" s="10">
        <v>4</v>
      </c>
      <c r="F42" s="10">
        <f t="shared" si="3"/>
        <v>4</v>
      </c>
    </row>
    <row r="43" spans="1:6">
      <c r="A43" s="10" t="s">
        <v>58</v>
      </c>
      <c r="B43" s="10" t="s">
        <v>13</v>
      </c>
      <c r="C43" s="22">
        <v>0.09</v>
      </c>
      <c r="D43" s="10">
        <v>2</v>
      </c>
      <c r="E43" s="10">
        <v>4</v>
      </c>
      <c r="F43" s="10">
        <f t="shared" si="3"/>
        <v>4</v>
      </c>
    </row>
    <row r="44" spans="1:6">
      <c r="A44" s="10" t="s">
        <v>58</v>
      </c>
      <c r="B44" s="10" t="s">
        <v>15</v>
      </c>
      <c r="C44" s="22">
        <v>0.09</v>
      </c>
      <c r="D44" s="10">
        <v>3</v>
      </c>
      <c r="E44" s="10">
        <v>3.82</v>
      </c>
      <c r="F44" s="10">
        <f t="shared" si="3"/>
        <v>3.82</v>
      </c>
    </row>
    <row r="45" spans="1:6">
      <c r="A45" s="10" t="s">
        <v>58</v>
      </c>
      <c r="B45" s="10" t="s">
        <v>17</v>
      </c>
      <c r="C45" s="22">
        <v>0.09</v>
      </c>
      <c r="D45" s="10">
        <v>2</v>
      </c>
      <c r="E45" s="10">
        <v>3</v>
      </c>
      <c r="F45" s="10">
        <f t="shared" si="3"/>
        <v>3</v>
      </c>
    </row>
    <row r="46" spans="1:6">
      <c r="A46" s="10" t="s">
        <v>58</v>
      </c>
      <c r="B46" s="10" t="s">
        <v>19</v>
      </c>
      <c r="C46" s="22">
        <v>0.09</v>
      </c>
      <c r="D46" s="10">
        <v>3</v>
      </c>
      <c r="E46" s="10">
        <v>3</v>
      </c>
      <c r="F46" s="10">
        <f t="shared" si="3"/>
        <v>3</v>
      </c>
    </row>
    <row r="47" spans="1:6">
      <c r="A47" s="10" t="s">
        <v>58</v>
      </c>
      <c r="B47" s="10" t="s">
        <v>21</v>
      </c>
      <c r="C47" s="22">
        <v>0.09</v>
      </c>
      <c r="D47" s="10">
        <v>2</v>
      </c>
      <c r="E47" s="10">
        <v>2.69</v>
      </c>
      <c r="F47" s="10">
        <f t="shared" si="3"/>
        <v>2.69</v>
      </c>
    </row>
    <row r="48" spans="1:6">
      <c r="A48" s="10" t="s">
        <v>58</v>
      </c>
      <c r="B48" s="10" t="s">
        <v>23</v>
      </c>
      <c r="C48" s="22">
        <v>0.09</v>
      </c>
      <c r="D48" s="10">
        <v>3</v>
      </c>
      <c r="E48" s="10">
        <v>2.86</v>
      </c>
      <c r="F48" s="10">
        <f t="shared" si="3"/>
        <v>2.86</v>
      </c>
    </row>
    <row r="49" spans="1:6">
      <c r="A49" s="10" t="s">
        <v>58</v>
      </c>
      <c r="B49" s="10" t="s">
        <v>24</v>
      </c>
      <c r="C49" s="22">
        <v>0.09</v>
      </c>
      <c r="D49" s="10">
        <v>4</v>
      </c>
      <c r="E49" s="10">
        <v>3</v>
      </c>
      <c r="F49" s="10">
        <f t="shared" si="3"/>
        <v>3</v>
      </c>
    </row>
    <row r="50" spans="1:6">
      <c r="A50" s="10" t="s">
        <v>58</v>
      </c>
      <c r="B50" s="10" t="s">
        <v>25</v>
      </c>
      <c r="C50" s="22">
        <v>0.1</v>
      </c>
      <c r="D50" s="10">
        <v>2</v>
      </c>
      <c r="E50" s="10">
        <v>3.86</v>
      </c>
      <c r="F50" s="10">
        <f t="shared" si="3"/>
        <v>3.86</v>
      </c>
    </row>
    <row r="51" spans="1:6">
      <c r="A51" s="29"/>
      <c r="B51" s="29"/>
      <c r="C51" s="30"/>
      <c r="D51" s="18"/>
      <c r="E51" s="18"/>
      <c r="F51" s="10" t="str">
        <f t="shared" si="3"/>
        <v/>
      </c>
    </row>
    <row r="52" spans="1:6">
      <c r="A52" s="29"/>
      <c r="B52" s="29"/>
      <c r="C52" s="30"/>
      <c r="D52" s="18"/>
      <c r="E52" s="18"/>
      <c r="F52" s="10" t="str">
        <f t="shared" si="3"/>
        <v/>
      </c>
    </row>
    <row r="53" spans="1:6">
      <c r="A53" s="29"/>
      <c r="B53" s="29"/>
      <c r="C53" s="30"/>
      <c r="D53" s="18"/>
      <c r="E53" s="18"/>
      <c r="F53" s="10" t="str">
        <f t="shared" si="3"/>
        <v/>
      </c>
    </row>
    <row r="54" spans="1:6">
      <c r="A54" s="29"/>
      <c r="B54" s="29"/>
      <c r="C54" s="30"/>
      <c r="D54" s="18"/>
      <c r="E54" s="18"/>
      <c r="F54" s="10" t="str">
        <f t="shared" si="3"/>
        <v/>
      </c>
    </row>
    <row r="55" spans="1:6">
      <c r="A55" s="29"/>
      <c r="B55" s="29"/>
      <c r="C55" s="30"/>
      <c r="D55" s="18"/>
      <c r="E55" s="18"/>
      <c r="F55" s="10" t="str">
        <f t="shared" si="3"/>
        <v/>
      </c>
    </row>
    <row r="56" spans="1:6">
      <c r="A56" s="29"/>
      <c r="B56" s="29"/>
      <c r="C56" s="30"/>
      <c r="D56" s="18"/>
      <c r="E56" s="18"/>
      <c r="F56" s="10" t="str">
        <f t="shared" si="3"/>
        <v/>
      </c>
    </row>
    <row r="57" spans="1:6">
      <c r="B57" s="28">
        <f>SUM(C40:C50)</f>
        <v>0.99999999999999978</v>
      </c>
      <c r="C57" s="27"/>
    </row>
    <row r="58" spans="1:6">
      <c r="A58" s="10" t="s">
        <v>1</v>
      </c>
      <c r="B58" s="10" t="s">
        <v>36</v>
      </c>
      <c r="C58" s="10" t="s">
        <v>5</v>
      </c>
      <c r="D58" s="10" t="s">
        <v>37</v>
      </c>
      <c r="E58" s="10" t="s">
        <v>38</v>
      </c>
      <c r="F58" s="10" t="s">
        <v>39</v>
      </c>
    </row>
    <row r="59" spans="1:6">
      <c r="A59" s="10" t="s">
        <v>59</v>
      </c>
      <c r="B59" s="10" t="s">
        <v>7</v>
      </c>
      <c r="C59" s="22">
        <v>0.09</v>
      </c>
      <c r="D59" s="10">
        <v>4</v>
      </c>
      <c r="E59" s="10">
        <v>2</v>
      </c>
      <c r="F59" s="10">
        <f>IF(E59&lt;&gt;"",E59,IF(D59&lt;&gt;"",D59,""))</f>
        <v>2</v>
      </c>
    </row>
    <row r="60" spans="1:6">
      <c r="A60" s="10" t="s">
        <v>59</v>
      </c>
      <c r="B60" s="10" t="s">
        <v>9</v>
      </c>
      <c r="C60" s="22">
        <v>0.09</v>
      </c>
      <c r="D60" s="10">
        <v>3</v>
      </c>
      <c r="E60" s="10">
        <v>2</v>
      </c>
      <c r="F60" s="10">
        <f t="shared" ref="F60:F75" si="4">IF(E60&lt;&gt;"",E60,IF(D60&lt;&gt;"",D60,""))</f>
        <v>2</v>
      </c>
    </row>
    <row r="61" spans="1:6">
      <c r="A61" s="10" t="s">
        <v>59</v>
      </c>
      <c r="B61" s="10" t="s">
        <v>11</v>
      </c>
      <c r="C61" s="22">
        <v>0.09</v>
      </c>
      <c r="D61" s="10">
        <v>3</v>
      </c>
      <c r="E61" s="10">
        <v>2</v>
      </c>
      <c r="F61" s="10">
        <f t="shared" si="4"/>
        <v>2</v>
      </c>
    </row>
    <row r="62" spans="1:6">
      <c r="A62" s="10" t="s">
        <v>59</v>
      </c>
      <c r="B62" s="10" t="s">
        <v>13</v>
      </c>
      <c r="C62" s="22">
        <v>0.09</v>
      </c>
      <c r="D62" s="10">
        <v>3</v>
      </c>
      <c r="E62" s="10">
        <v>3</v>
      </c>
      <c r="F62" s="10">
        <f t="shared" si="4"/>
        <v>3</v>
      </c>
    </row>
    <row r="63" spans="1:6">
      <c r="A63" s="10" t="s">
        <v>59</v>
      </c>
      <c r="B63" s="10" t="s">
        <v>15</v>
      </c>
      <c r="C63" s="22">
        <v>0.09</v>
      </c>
      <c r="D63" s="10">
        <v>3</v>
      </c>
      <c r="E63" s="10">
        <v>3</v>
      </c>
      <c r="F63" s="10">
        <f t="shared" si="4"/>
        <v>3</v>
      </c>
    </row>
    <row r="64" spans="1:6">
      <c r="A64" s="10" t="s">
        <v>59</v>
      </c>
      <c r="B64" s="10" t="s">
        <v>17</v>
      </c>
      <c r="C64" s="22">
        <v>0.09</v>
      </c>
      <c r="D64" s="10">
        <v>3</v>
      </c>
      <c r="E64" s="10">
        <v>2</v>
      </c>
      <c r="F64" s="10">
        <f t="shared" si="4"/>
        <v>2</v>
      </c>
    </row>
    <row r="65" spans="1:6">
      <c r="A65" s="10" t="s">
        <v>59</v>
      </c>
      <c r="B65" s="10" t="s">
        <v>19</v>
      </c>
      <c r="C65" s="22">
        <v>0.09</v>
      </c>
      <c r="D65" s="10">
        <v>2</v>
      </c>
      <c r="E65" s="10">
        <v>3</v>
      </c>
      <c r="F65" s="10">
        <f t="shared" si="4"/>
        <v>3</v>
      </c>
    </row>
    <row r="66" spans="1:6">
      <c r="A66" s="10" t="s">
        <v>59</v>
      </c>
      <c r="B66" s="10" t="s">
        <v>21</v>
      </c>
      <c r="C66" s="22">
        <v>0.09</v>
      </c>
      <c r="D66" s="10">
        <v>4</v>
      </c>
      <c r="E66" s="10">
        <v>2</v>
      </c>
      <c r="F66" s="10">
        <f t="shared" si="4"/>
        <v>2</v>
      </c>
    </row>
    <row r="67" spans="1:6">
      <c r="A67" s="10" t="s">
        <v>59</v>
      </c>
      <c r="B67" s="10" t="s">
        <v>23</v>
      </c>
      <c r="C67" s="22">
        <v>0.09</v>
      </c>
      <c r="D67" s="10">
        <v>4</v>
      </c>
      <c r="E67" s="10">
        <v>3</v>
      </c>
      <c r="F67" s="10">
        <f t="shared" si="4"/>
        <v>3</v>
      </c>
    </row>
    <row r="68" spans="1:6">
      <c r="A68" s="10" t="s">
        <v>59</v>
      </c>
      <c r="B68" s="10" t="s">
        <v>24</v>
      </c>
      <c r="C68" s="22">
        <v>0.09</v>
      </c>
      <c r="D68" s="10">
        <v>4</v>
      </c>
      <c r="E68" s="10">
        <v>2</v>
      </c>
      <c r="F68" s="10">
        <f t="shared" si="4"/>
        <v>2</v>
      </c>
    </row>
    <row r="69" spans="1:6">
      <c r="A69" s="10" t="s">
        <v>59</v>
      </c>
      <c r="B69" s="10" t="s">
        <v>25</v>
      </c>
      <c r="C69" s="22">
        <v>0.1</v>
      </c>
      <c r="D69" s="10">
        <v>4</v>
      </c>
      <c r="E69" s="10">
        <v>3</v>
      </c>
      <c r="F69" s="10">
        <f t="shared" si="4"/>
        <v>3</v>
      </c>
    </row>
    <row r="70" spans="1:6">
      <c r="A70" s="29"/>
      <c r="B70" s="29"/>
      <c r="C70" s="30"/>
      <c r="D70" s="18"/>
      <c r="E70" s="18"/>
      <c r="F70" s="10" t="str">
        <f t="shared" si="4"/>
        <v/>
      </c>
    </row>
    <row r="71" spans="1:6">
      <c r="A71" s="29"/>
      <c r="B71" s="29"/>
      <c r="C71" s="30"/>
      <c r="D71" s="18"/>
      <c r="E71" s="18"/>
      <c r="F71" s="10" t="str">
        <f t="shared" si="4"/>
        <v/>
      </c>
    </row>
    <row r="72" spans="1:6">
      <c r="A72" s="29"/>
      <c r="B72" s="29"/>
      <c r="C72" s="30"/>
      <c r="D72" s="18"/>
      <c r="E72" s="18"/>
      <c r="F72" s="10" t="str">
        <f t="shared" si="4"/>
        <v/>
      </c>
    </row>
    <row r="73" spans="1:6">
      <c r="A73" s="29"/>
      <c r="B73" s="29"/>
      <c r="C73" s="30"/>
      <c r="D73" s="18"/>
      <c r="E73" s="18"/>
      <c r="F73" s="10" t="str">
        <f t="shared" si="4"/>
        <v/>
      </c>
    </row>
    <row r="74" spans="1:6">
      <c r="A74" s="29"/>
      <c r="B74" s="29"/>
      <c r="C74" s="30"/>
      <c r="D74" s="18"/>
      <c r="E74" s="18"/>
      <c r="F74" s="10" t="str">
        <f t="shared" si="4"/>
        <v/>
      </c>
    </row>
    <row r="75" spans="1:6">
      <c r="A75" s="29"/>
      <c r="B75" s="29"/>
      <c r="C75" s="30"/>
      <c r="D75" s="18"/>
      <c r="E75" s="18"/>
      <c r="F75" s="10" t="str">
        <f t="shared" si="4"/>
        <v/>
      </c>
    </row>
    <row r="76" spans="1:6">
      <c r="B76" s="33">
        <f>SUM(C59:C69)</f>
        <v>0.99999999999999978</v>
      </c>
      <c r="C76" s="32"/>
    </row>
  </sheetData>
  <mergeCells count="4">
    <mergeCell ref="B19:C19"/>
    <mergeCell ref="B57:C57"/>
    <mergeCell ref="B38:C38"/>
    <mergeCell ref="B76:C76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ABDA-F64E-447D-9BAA-A4961C5442AD}">
  <dimension ref="A1:N20"/>
  <sheetViews>
    <sheetView topLeftCell="D1" zoomScale="85" zoomScaleNormal="85" workbookViewId="0">
      <selection activeCell="O11" sqref="O11"/>
    </sheetView>
  </sheetViews>
  <sheetFormatPr defaultColWidth="22" defaultRowHeight="14.5"/>
  <cols>
    <col min="1" max="2" width="27.90625" bestFit="1" customWidth="1"/>
    <col min="3" max="3" width="14.54296875" bestFit="1" customWidth="1"/>
    <col min="4" max="4" width="27.90625" bestFit="1" customWidth="1"/>
    <col min="5" max="5" width="7.7265625" bestFit="1" customWidth="1"/>
    <col min="6" max="6" width="7.90625" bestFit="1" customWidth="1"/>
    <col min="7" max="7" width="13.08984375" bestFit="1" customWidth="1"/>
    <col min="8" max="8" width="12.08984375" bestFit="1" customWidth="1"/>
    <col min="9" max="9" width="9.6328125" bestFit="1" customWidth="1"/>
    <col min="10" max="10" width="7.90625" bestFit="1" customWidth="1"/>
    <col min="11" max="11" width="12.1796875" bestFit="1" customWidth="1"/>
    <col min="12" max="12" width="15.90625" bestFit="1" customWidth="1"/>
    <col min="13" max="13" width="4.7265625" bestFit="1" customWidth="1"/>
    <col min="14" max="14" width="9" bestFit="1" customWidth="1"/>
  </cols>
  <sheetData>
    <row r="1" spans="1:14">
      <c r="A1" s="10" t="s">
        <v>40</v>
      </c>
      <c r="B1" s="10" t="s">
        <v>41</v>
      </c>
      <c r="C1" s="10" t="s">
        <v>42</v>
      </c>
      <c r="D1" s="10" t="s">
        <v>41</v>
      </c>
      <c r="E1" s="10" t="s">
        <v>50</v>
      </c>
      <c r="F1" s="10" t="s">
        <v>43</v>
      </c>
      <c r="G1" s="10" t="s">
        <v>44</v>
      </c>
      <c r="H1" s="10" t="s">
        <v>45</v>
      </c>
      <c r="I1" s="10" t="s">
        <v>46</v>
      </c>
      <c r="J1" s="10" t="s">
        <v>47</v>
      </c>
      <c r="K1" s="10" t="s">
        <v>51</v>
      </c>
      <c r="L1" s="10" t="s">
        <v>52</v>
      </c>
      <c r="M1" s="1"/>
      <c r="N1" s="16" t="s">
        <v>35</v>
      </c>
    </row>
    <row r="2" spans="1:14">
      <c r="A2" s="17" t="str">
        <f>KRA!A2</f>
        <v>VP FOR ACQUIRED PROPERTIES</v>
      </c>
      <c r="B2" s="17" t="s">
        <v>60</v>
      </c>
      <c r="C2" s="17" t="s">
        <v>48</v>
      </c>
      <c r="D2" s="26" t="s">
        <v>60</v>
      </c>
      <c r="E2" s="17">
        <v>4</v>
      </c>
      <c r="F2" s="17">
        <v>3</v>
      </c>
      <c r="G2" s="17">
        <v>3</v>
      </c>
      <c r="H2" s="17">
        <v>3</v>
      </c>
      <c r="I2" s="17">
        <v>2</v>
      </c>
      <c r="J2" s="17">
        <v>3</v>
      </c>
      <c r="K2" s="17">
        <v>3</v>
      </c>
      <c r="L2" s="17">
        <v>2</v>
      </c>
      <c r="M2" s="9">
        <f>IF(COUNT(E2:L2)=8,AVERAGE(E2:L2),"")</f>
        <v>2.875</v>
      </c>
      <c r="N2" s="19">
        <f>AVERAGE(M2:M5)</f>
        <v>2.7678124999999998</v>
      </c>
    </row>
    <row r="3" spans="1:14">
      <c r="A3" s="17" t="str">
        <f>KRA!A3</f>
        <v>VP FOR ACQUIRED PROPERTIES</v>
      </c>
      <c r="B3" s="17" t="str">
        <f>A7</f>
        <v>AP MANAGER</v>
      </c>
      <c r="C3" s="17" t="s">
        <v>49</v>
      </c>
      <c r="D3" s="26" t="str">
        <f>A7</f>
        <v>AP MANAGER</v>
      </c>
      <c r="E3" s="17">
        <v>3.61</v>
      </c>
      <c r="F3" s="17">
        <v>2.4500000000000002</v>
      </c>
      <c r="G3" s="17">
        <v>3.69</v>
      </c>
      <c r="H3" s="17">
        <v>3.02</v>
      </c>
      <c r="I3" s="17">
        <v>2.41</v>
      </c>
      <c r="J3" s="17">
        <v>3.37</v>
      </c>
      <c r="K3" s="17">
        <v>1.85</v>
      </c>
      <c r="L3" s="17">
        <v>3.17</v>
      </c>
      <c r="M3" s="9">
        <f t="shared" ref="M3" si="0">IF(COUNT(E3:L3)=8,AVERAGE(E3:L3),"")</f>
        <v>2.94625</v>
      </c>
    </row>
    <row r="4" spans="1:14">
      <c r="A4" s="17" t="str">
        <f>KRA!A4</f>
        <v>VP FOR ACQUIRED PROPERTIES</v>
      </c>
      <c r="B4" s="17" t="str">
        <f>A12</f>
        <v>AP SUPERVISOR</v>
      </c>
      <c r="C4" s="17" t="s">
        <v>49</v>
      </c>
      <c r="D4" s="26" t="str">
        <f>A12</f>
        <v>AP SUPERVISOR</v>
      </c>
      <c r="E4" s="17">
        <v>3</v>
      </c>
      <c r="F4" s="17">
        <v>2</v>
      </c>
      <c r="G4" s="17">
        <v>3</v>
      </c>
      <c r="H4" s="17">
        <v>2</v>
      </c>
      <c r="I4" s="17">
        <v>3</v>
      </c>
      <c r="J4" s="17">
        <v>2</v>
      </c>
      <c r="K4" s="17">
        <v>4</v>
      </c>
      <c r="L4" s="17">
        <v>4</v>
      </c>
      <c r="M4" s="9">
        <f>IF(COUNT(E4:L4)=8,AVERAGE(E4:L4),"")</f>
        <v>2.875</v>
      </c>
    </row>
    <row r="5" spans="1:14">
      <c r="A5" s="17" t="str">
        <f>KRA!A5</f>
        <v>VP FOR ACQUIRED PROPERTIES</v>
      </c>
      <c r="B5" s="17" t="str">
        <f>A17</f>
        <v>AP STAFF</v>
      </c>
      <c r="C5" s="17" t="s">
        <v>49</v>
      </c>
      <c r="D5" s="26" t="str">
        <f>A17</f>
        <v>AP STAFF</v>
      </c>
      <c r="E5" s="17">
        <v>2</v>
      </c>
      <c r="F5" s="17">
        <v>3</v>
      </c>
      <c r="G5" s="17">
        <v>4</v>
      </c>
      <c r="H5" s="17">
        <v>3</v>
      </c>
      <c r="I5" s="17">
        <v>2</v>
      </c>
      <c r="J5" s="17">
        <v>2</v>
      </c>
      <c r="K5" s="17">
        <v>1</v>
      </c>
      <c r="L5" s="17">
        <v>2</v>
      </c>
      <c r="M5" s="9">
        <f>IF(COUNT(E5:L5)=8,AVERAGE(E5:L5),"")</f>
        <v>2.375</v>
      </c>
    </row>
    <row r="7" spans="1:14">
      <c r="A7" s="17" t="str">
        <f>KRA!A21</f>
        <v>AP MANAGER</v>
      </c>
      <c r="B7" s="17" t="s">
        <v>60</v>
      </c>
      <c r="C7" s="17" t="s">
        <v>48</v>
      </c>
      <c r="D7" s="26" t="s">
        <v>60</v>
      </c>
      <c r="E7" s="3">
        <v>4</v>
      </c>
      <c r="F7" s="3">
        <v>2</v>
      </c>
      <c r="G7" s="3">
        <v>2</v>
      </c>
      <c r="H7" s="3">
        <v>2</v>
      </c>
      <c r="I7" s="3">
        <v>3</v>
      </c>
      <c r="J7" s="3">
        <v>2</v>
      </c>
      <c r="K7" s="3">
        <v>3</v>
      </c>
      <c r="L7" s="3">
        <v>2</v>
      </c>
      <c r="M7" s="9">
        <f>IF(COUNT(E7:L7)=8,AVERAGE(E7:L7),"")</f>
        <v>2.5</v>
      </c>
      <c r="N7" s="19">
        <f>AVERAGE(M7:M10)</f>
        <v>3</v>
      </c>
    </row>
    <row r="8" spans="1:14">
      <c r="A8" s="17" t="str">
        <f>KRA!A22</f>
        <v>AP MANAGER</v>
      </c>
      <c r="B8" s="17" t="str">
        <f>A2</f>
        <v>VP FOR ACQUIRED PROPERTIES</v>
      </c>
      <c r="C8" s="17" t="s">
        <v>49</v>
      </c>
      <c r="D8" s="26" t="str">
        <f>B8</f>
        <v>VP FOR ACQUIRED PROPERTIES</v>
      </c>
      <c r="E8" s="3">
        <v>3</v>
      </c>
      <c r="F8" s="3">
        <v>4</v>
      </c>
      <c r="G8" s="3">
        <v>3</v>
      </c>
      <c r="H8" s="3">
        <v>2</v>
      </c>
      <c r="I8" s="3">
        <v>3</v>
      </c>
      <c r="J8" s="3">
        <v>2</v>
      </c>
      <c r="K8" s="3">
        <v>4</v>
      </c>
      <c r="L8" s="3">
        <v>4</v>
      </c>
      <c r="M8" s="9">
        <f>IF(COUNT(E8:L8)=8,AVERAGE(E8:L8),"")</f>
        <v>3.125</v>
      </c>
    </row>
    <row r="9" spans="1:14">
      <c r="A9" s="17" t="str">
        <f>KRA!A23</f>
        <v>AP MANAGER</v>
      </c>
      <c r="B9" s="17" t="str">
        <f>A12</f>
        <v>AP SUPERVISOR</v>
      </c>
      <c r="C9" s="17" t="s">
        <v>49</v>
      </c>
      <c r="D9" s="26" t="str">
        <f>B9</f>
        <v>AP SUPERVISOR</v>
      </c>
      <c r="E9" s="3">
        <v>3</v>
      </c>
      <c r="F9" s="3">
        <v>4</v>
      </c>
      <c r="G9" s="3">
        <v>3</v>
      </c>
      <c r="H9" s="3">
        <v>4</v>
      </c>
      <c r="I9" s="3">
        <v>3</v>
      </c>
      <c r="J9" s="3">
        <v>4</v>
      </c>
      <c r="K9" s="3">
        <v>3</v>
      </c>
      <c r="L9" s="3">
        <v>4</v>
      </c>
      <c r="M9" s="9">
        <f>IF(COUNT(E9:L9)=8,AVERAGE(E9:L9),"")</f>
        <v>3.5</v>
      </c>
    </row>
    <row r="10" spans="1:14">
      <c r="A10" s="17" t="str">
        <f>KRA!A24</f>
        <v>AP MANAGER</v>
      </c>
      <c r="B10" s="17" t="str">
        <f>A17</f>
        <v>AP STAFF</v>
      </c>
      <c r="C10" s="17" t="s">
        <v>49</v>
      </c>
      <c r="D10" s="26" t="str">
        <f>B10</f>
        <v>AP STAFF</v>
      </c>
      <c r="E10" s="3">
        <v>2</v>
      </c>
      <c r="F10" s="3">
        <v>2</v>
      </c>
      <c r="G10" s="3">
        <v>2</v>
      </c>
      <c r="H10" s="3">
        <v>3</v>
      </c>
      <c r="I10" s="3">
        <v>3</v>
      </c>
      <c r="J10" s="3">
        <v>4</v>
      </c>
      <c r="K10" s="3">
        <v>3</v>
      </c>
      <c r="L10" s="3">
        <v>4</v>
      </c>
      <c r="M10" s="9">
        <f>IF(COUNT(E10:L10)=8,AVERAGE(E10:L10),"")</f>
        <v>2.875</v>
      </c>
    </row>
    <row r="12" spans="1:14">
      <c r="A12" s="17" t="str">
        <f>KRA!A40</f>
        <v>AP SUPERVISOR</v>
      </c>
      <c r="B12" s="17" t="s">
        <v>60</v>
      </c>
      <c r="C12" s="17" t="s">
        <v>48</v>
      </c>
      <c r="D12" s="26" t="s">
        <v>60</v>
      </c>
      <c r="E12" s="3">
        <v>4</v>
      </c>
      <c r="F12" s="3">
        <v>2</v>
      </c>
      <c r="G12" s="3">
        <v>3</v>
      </c>
      <c r="H12" s="3">
        <v>2</v>
      </c>
      <c r="I12" s="3">
        <v>2</v>
      </c>
      <c r="J12" s="3">
        <v>3</v>
      </c>
      <c r="K12" s="3">
        <v>3</v>
      </c>
      <c r="L12" s="3">
        <v>2</v>
      </c>
      <c r="M12" s="9">
        <f>IF(COUNT(E12:L12)=8,AVERAGE(E12:L12),"")</f>
        <v>2.625</v>
      </c>
      <c r="N12" s="19">
        <f>AVERAGE(M12:M15)</f>
        <v>2.8540625000000004</v>
      </c>
    </row>
    <row r="13" spans="1:14">
      <c r="A13" s="17" t="str">
        <f>KRA!A41</f>
        <v>AP SUPERVISOR</v>
      </c>
      <c r="B13" s="17" t="str">
        <f>A2</f>
        <v>VP FOR ACQUIRED PROPERTIES</v>
      </c>
      <c r="C13" s="17" t="s">
        <v>49</v>
      </c>
      <c r="D13" s="26" t="str">
        <f>B13</f>
        <v>VP FOR ACQUIRED PROPERTIES</v>
      </c>
      <c r="E13" s="3">
        <v>2.2000000000000002</v>
      </c>
      <c r="F13" s="3">
        <v>1.63</v>
      </c>
      <c r="G13" s="3">
        <v>3.34</v>
      </c>
      <c r="H13" s="3">
        <v>1.84</v>
      </c>
      <c r="I13" s="3">
        <v>3.17</v>
      </c>
      <c r="J13" s="3">
        <v>4</v>
      </c>
      <c r="K13" s="3">
        <v>3.84</v>
      </c>
      <c r="L13" s="3">
        <v>3.85</v>
      </c>
      <c r="M13" s="9">
        <f>IF(COUNT(E13:L13)=8,AVERAGE(E13:L13),"")</f>
        <v>2.9837500000000001</v>
      </c>
    </row>
    <row r="14" spans="1:14">
      <c r="A14" s="17" t="str">
        <f>KRA!A42</f>
        <v>AP SUPERVISOR</v>
      </c>
      <c r="B14" s="17" t="str">
        <f>A7</f>
        <v>AP MANAGER</v>
      </c>
      <c r="C14" s="17" t="s">
        <v>49</v>
      </c>
      <c r="D14" s="26" t="str">
        <f>B14</f>
        <v>AP MANAGER</v>
      </c>
      <c r="E14" s="3">
        <v>2.89</v>
      </c>
      <c r="F14" s="3">
        <v>2.89</v>
      </c>
      <c r="G14" s="3">
        <v>3.09</v>
      </c>
      <c r="H14" s="3">
        <v>2.09</v>
      </c>
      <c r="I14" s="3">
        <v>2.94</v>
      </c>
      <c r="J14" s="3">
        <v>4</v>
      </c>
      <c r="K14" s="3">
        <v>3.92</v>
      </c>
      <c r="L14" s="3">
        <v>3.64</v>
      </c>
      <c r="M14" s="9">
        <f>IF(COUNT(E14:L14)=8,AVERAGE(E14:L14),"")</f>
        <v>3.1825000000000001</v>
      </c>
    </row>
    <row r="15" spans="1:14">
      <c r="A15" s="17" t="str">
        <f>KRA!A43</f>
        <v>AP SUPERVISOR</v>
      </c>
      <c r="B15" s="17" t="str">
        <f>A17</f>
        <v>AP STAFF</v>
      </c>
      <c r="C15" s="17" t="s">
        <v>49</v>
      </c>
      <c r="D15" s="26" t="str">
        <f>B15</f>
        <v>AP STAFF</v>
      </c>
      <c r="E15" s="3">
        <v>2</v>
      </c>
      <c r="F15" s="3">
        <v>3</v>
      </c>
      <c r="G15" s="3">
        <v>2</v>
      </c>
      <c r="H15" s="3">
        <v>3</v>
      </c>
      <c r="I15" s="3">
        <v>1</v>
      </c>
      <c r="J15" s="3">
        <v>4</v>
      </c>
      <c r="K15" s="3">
        <v>3</v>
      </c>
      <c r="L15" s="3">
        <v>3</v>
      </c>
      <c r="M15" s="9">
        <f>IF(COUNT(E15:L15)=8,AVERAGE(E15:L15),"")</f>
        <v>2.625</v>
      </c>
    </row>
    <row r="17" spans="1:14">
      <c r="A17" s="17" t="s">
        <v>59</v>
      </c>
      <c r="B17" s="17" t="s">
        <v>60</v>
      </c>
      <c r="C17" s="17" t="s">
        <v>48</v>
      </c>
      <c r="D17" s="26" t="s">
        <v>60</v>
      </c>
      <c r="E17" s="3">
        <v>4</v>
      </c>
      <c r="F17" s="3">
        <v>3</v>
      </c>
      <c r="G17" s="3">
        <v>2</v>
      </c>
      <c r="H17" s="3">
        <v>3</v>
      </c>
      <c r="I17" s="3">
        <v>3</v>
      </c>
      <c r="J17" s="3">
        <v>3</v>
      </c>
      <c r="K17" s="3">
        <v>2</v>
      </c>
      <c r="L17" s="3">
        <v>3</v>
      </c>
      <c r="M17" s="9">
        <f>IF(COUNT(E17:L17)=8,AVERAGE(E17:L17),"")</f>
        <v>2.875</v>
      </c>
      <c r="N17" s="19">
        <f>AVERAGE(M17:M20)</f>
        <v>2.42875</v>
      </c>
    </row>
    <row r="18" spans="1:14">
      <c r="A18" s="17" t="s">
        <v>59</v>
      </c>
      <c r="B18" s="17" t="str">
        <f>A2</f>
        <v>VP FOR ACQUIRED PROPERTIES</v>
      </c>
      <c r="C18" s="17" t="s">
        <v>49</v>
      </c>
      <c r="D18" s="26" t="str">
        <f>B18</f>
        <v>VP FOR ACQUIRED PROPERTIES</v>
      </c>
      <c r="E18" s="3">
        <v>2.73</v>
      </c>
      <c r="F18" s="3">
        <v>3.85</v>
      </c>
      <c r="G18" s="3">
        <v>1.75</v>
      </c>
      <c r="H18" s="3">
        <v>1.81</v>
      </c>
      <c r="I18" s="3">
        <v>1.8</v>
      </c>
      <c r="J18" s="3">
        <v>2.78</v>
      </c>
      <c r="K18" s="3">
        <v>2</v>
      </c>
      <c r="L18" s="3">
        <v>2</v>
      </c>
      <c r="M18" s="9">
        <f t="shared" ref="M18:M20" si="1">IF(COUNT(E18:L18)=8,AVERAGE(E18:L18),"")</f>
        <v>2.34</v>
      </c>
    </row>
    <row r="19" spans="1:14">
      <c r="A19" s="17" t="s">
        <v>59</v>
      </c>
      <c r="B19" s="17" t="str">
        <f>A7</f>
        <v>AP MANAGER</v>
      </c>
      <c r="C19" s="17" t="s">
        <v>49</v>
      </c>
      <c r="D19" s="26" t="str">
        <f>B19</f>
        <v>AP MANAGER</v>
      </c>
      <c r="E19" s="3">
        <v>2</v>
      </c>
      <c r="F19" s="3">
        <v>1</v>
      </c>
      <c r="G19" s="3">
        <v>2</v>
      </c>
      <c r="H19" s="3">
        <v>2</v>
      </c>
      <c r="I19" s="3">
        <v>3</v>
      </c>
      <c r="J19" s="3">
        <v>3</v>
      </c>
      <c r="K19" s="3">
        <v>2</v>
      </c>
      <c r="L19" s="3">
        <v>3</v>
      </c>
      <c r="M19" s="9">
        <f t="shared" si="1"/>
        <v>2.25</v>
      </c>
    </row>
    <row r="20" spans="1:14">
      <c r="A20" s="17" t="s">
        <v>59</v>
      </c>
      <c r="B20" s="17" t="str">
        <f>A12</f>
        <v>AP SUPERVISOR</v>
      </c>
      <c r="C20" s="17" t="s">
        <v>49</v>
      </c>
      <c r="D20" s="26" t="str">
        <f>B20</f>
        <v>AP SUPERVISOR</v>
      </c>
      <c r="E20" s="3">
        <v>2</v>
      </c>
      <c r="F20" s="3">
        <v>1</v>
      </c>
      <c r="G20" s="3">
        <v>3</v>
      </c>
      <c r="H20" s="3">
        <v>2</v>
      </c>
      <c r="I20" s="3">
        <v>3</v>
      </c>
      <c r="J20" s="3">
        <v>2</v>
      </c>
      <c r="K20" s="3">
        <v>3</v>
      </c>
      <c r="L20" s="3">
        <v>2</v>
      </c>
      <c r="M20" s="9">
        <f t="shared" si="1"/>
        <v>2.25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manual</vt:lpstr>
      <vt:lpstr>KRA</vt:lpstr>
      <vt:lpstr>Behavior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2026-10-26T02:22:45Z</dcterms:modified>
</cp:coreProperties>
</file>