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7CC406AD-92B6-4BCA-88E4-AF99AAA4871B}" xr6:coauthVersionLast="47" xr6:coauthVersionMax="47" xr10:uidLastSave="{00000000-0000-0000-0000-000000000000}"/>
  <bookViews>
    <workbookView xWindow="-110" yWindow="-110" windowWidth="19420" windowHeight="11020" xr2:uid="{22A5745B-9E59-4E91-9FA4-3C7DB1ABBFEE}"/>
  </bookViews>
  <sheets>
    <sheet name="auto" sheetId="1" r:id="rId1"/>
    <sheet name="manu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F3" i="1" s="1"/>
  <c r="H2" i="2"/>
  <c r="L2" i="2" s="1"/>
  <c r="C19" i="2"/>
  <c r="B19" i="2"/>
  <c r="F10" i="2"/>
  <c r="I2" i="2"/>
  <c r="C15" i="1"/>
  <c r="B15" i="1"/>
  <c r="E5" i="1"/>
  <c r="F5" i="1" s="1"/>
  <c r="C18" i="1"/>
  <c r="B18" i="1"/>
  <c r="A18" i="1"/>
  <c r="C11" i="1"/>
  <c r="D17" i="1" s="1"/>
  <c r="B11" i="1"/>
  <c r="C17" i="1"/>
  <c r="C16" i="1"/>
  <c r="B17" i="1"/>
  <c r="A17" i="1"/>
  <c r="A16" i="1"/>
  <c r="E4" i="1"/>
  <c r="F4" i="1" s="1"/>
  <c r="B16" i="1" l="1"/>
  <c r="D16" i="1"/>
  <c r="E16" i="1" s="1"/>
  <c r="F16" i="1" s="1"/>
  <c r="D18" i="1"/>
  <c r="E18" i="1" s="1"/>
  <c r="F18" i="1" s="1"/>
  <c r="E17" i="1"/>
  <c r="F1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Justine Rovira</author>
  </authors>
  <commentList>
    <comment ref="C10" authorId="0" shapeId="0" xr:uid="{7231A954-B562-4049-B66C-0365C4EEEBC7}">
      <text>
        <r>
          <rPr>
            <b/>
            <sz val="9"/>
            <color indexed="81"/>
            <rFont val="Tahoma"/>
            <family val="2"/>
          </rPr>
          <t xml:space="preserve">Average of Self Core Values within the department
</t>
        </r>
      </text>
    </comment>
    <comment ref="E15" authorId="0" shapeId="0" xr:uid="{556B91CA-F9AB-48B3-957A-8014E5D48BE0}">
      <text>
        <r>
          <rPr>
            <b/>
            <sz val="9"/>
            <color indexed="81"/>
            <rFont val="Tahoma"/>
            <family val="2"/>
          </rPr>
          <t xml:space="preserve">Final Score absorbed by the system
</t>
        </r>
      </text>
    </comment>
  </commentList>
</comments>
</file>

<file path=xl/sharedStrings.xml><?xml version="1.0" encoding="utf-8"?>
<sst xmlns="http://schemas.openxmlformats.org/spreadsheetml/2006/main" count="56" uniqueCount="50">
  <si>
    <t>Rating Scale</t>
  </si>
  <si>
    <t>1.00–4.00</t>
  </si>
  <si>
    <t>KRA Weight</t>
  </si>
  <si>
    <t>Behavior Weight</t>
  </si>
  <si>
    <t>Employee</t>
  </si>
  <si>
    <t>Position</t>
  </si>
  <si>
    <t>Status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</si>
  <si>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</si>
  <si>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</si>
  <si>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</si>
  <si>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</si>
  <si>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</si>
  <si>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Final Score</t>
  </si>
  <si>
    <t>Rating</t>
  </si>
  <si>
    <t>Final Department State (after all employees complete)</t>
  </si>
  <si>
    <t>Self Core Values</t>
  </si>
  <si>
    <t>Self KRA</t>
  </si>
  <si>
    <t>Score</t>
  </si>
  <si>
    <t>liana</t>
  </si>
  <si>
    <t>KRA Items</t>
  </si>
  <si>
    <t>Weight</t>
  </si>
  <si>
    <t>Core Behavior &amp; values</t>
  </si>
  <si>
    <t>KRA 1</t>
  </si>
  <si>
    <t>Core Item 1</t>
  </si>
  <si>
    <t>KRA 2</t>
  </si>
  <si>
    <t xml:space="preserve">Core Item 2 </t>
  </si>
  <si>
    <t>KRA 3</t>
  </si>
  <si>
    <t>Core Item 3</t>
  </si>
  <si>
    <t>KRA 4</t>
  </si>
  <si>
    <t>Core Item 4</t>
  </si>
  <si>
    <t>KRA 5</t>
  </si>
  <si>
    <t>Core Item 5</t>
  </si>
  <si>
    <t>KRA 6</t>
  </si>
  <si>
    <t>Core Item 6</t>
  </si>
  <si>
    <t>KRA 7</t>
  </si>
  <si>
    <t>Core Item 7</t>
  </si>
  <si>
    <t>KRA 8</t>
  </si>
  <si>
    <t>Core Item 8</t>
  </si>
  <si>
    <t>KRA 9</t>
  </si>
  <si>
    <t>KRA 10</t>
  </si>
  <si>
    <t>KRA 11</t>
  </si>
  <si>
    <t>KRA 12</t>
  </si>
  <si>
    <t>KRA 13</t>
  </si>
  <si>
    <t>KRA 14</t>
  </si>
  <si>
    <t>KRA 15</t>
  </si>
  <si>
    <t>KRA 16</t>
  </si>
  <si>
    <t>KRA 17</t>
  </si>
  <si>
    <t>KRA Subtotal</t>
  </si>
  <si>
    <t>Core Values Average</t>
  </si>
  <si>
    <t>Core Values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</si>
</sst>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0"/>
      <color rgb="FF0F172A"/>
      <name val="Segoe UI"/>
      <family val="2"/>
    </font>
    <font>
      <b/>
      <sz val="9"/>
      <color indexed="81"/>
      <name val="Tahoma"/>
      <family val="2"/>
    </font>
    <font>
      <sz val="10"/>
      <color theme="1"/>
      <name val="Arial Unicode MS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Border="1"/>
    <xf numFmtId="9" fontId="8" fillId="0" borderId="0" xfId="0" applyNumberFormat="1" applyFont="1" applyAlignment="1">
      <alignment vertical="center"/>
    </xf>
    <xf numFmtId="2" fontId="0" fillId="0" borderId="0" xfId="0" applyNumberFormat="1"/>
    <xf numFmtId="9" fontId="0" fillId="0" borderId="0" xfId="0" applyNumberFormat="1"/>
    <xf numFmtId="0" fontId="1" fillId="0" borderId="0" xfId="0" applyFont="1"/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E9" activeCellId="1" sqref="F3 E9"/>
    </sheetView>
  </sheetViews>
  <sheetFormatPr defaultColWidth="26" defaultRowHeight="14.5"/>
  <cols>
    <col min="1" max="1" width="52.1796875" bestFit="1" customWidth="1"/>
    <col min="2" max="2" width="10.7265625" bestFit="1" customWidth="1"/>
    <col min="3" max="4" width="20.453125" bestFit="1" customWidth="1"/>
    <col min="5" max="5" width="10.54296875" bestFit="1" customWidth="1"/>
    <col min="6" max="6" width="19.81640625" bestFit="1" customWidth="1"/>
    <col min="7" max="7" width="13.54296875" customWidth="1"/>
    <col min="8" max="8" width="12" customWidth="1"/>
  </cols>
  <sheetData>
    <row r="1" spans="1:8">
      <c r="A1" s="9" t="s">
        <v>0</v>
      </c>
      <c r="B1" s="9" t="s">
        <v>1</v>
      </c>
      <c r="C1" s="9"/>
      <c r="D1" s="9" t="s">
        <v>2</v>
      </c>
      <c r="E1" s="12">
        <v>0.8</v>
      </c>
      <c r="F1" s="9" t="s">
        <v>3</v>
      </c>
      <c r="G1" s="12">
        <v>0.2</v>
      </c>
    </row>
    <row r="2" spans="1:8">
      <c r="A2" s="11" t="s">
        <v>4</v>
      </c>
      <c r="B2" s="11" t="s">
        <v>5</v>
      </c>
      <c r="C2" s="11" t="s">
        <v>16</v>
      </c>
      <c r="D2" s="11" t="s">
        <v>15</v>
      </c>
      <c r="E2" s="11" t="s">
        <v>17</v>
      </c>
      <c r="F2" s="11" t="s">
        <v>6</v>
      </c>
      <c r="G2" s="1"/>
      <c r="H2" s="1"/>
    </row>
    <row r="3" spans="1:8" ht="16">
      <c r="A3" s="18" t="s">
        <v>18</v>
      </c>
      <c r="B3" s="16"/>
      <c r="C3">
        <v>3.36</v>
      </c>
      <c r="D3" s="17">
        <v>3.13</v>
      </c>
      <c r="E3" s="7">
        <f>C3*$E$1+D3*$G$1</f>
        <v>3.3140000000000001</v>
      </c>
      <c r="F3" s="6" t="str">
        <f>IF(E3&gt;=3.6,"Outstanding",
 IF(E3&gt;=2.6,"Exceeds Expectations",
 IF(E3&gt;=2,"Meets Expectations","Needs Improvement")))</f>
        <v>Exceeds Expectations</v>
      </c>
      <c r="G3" s="1"/>
      <c r="H3" s="1"/>
    </row>
    <row r="4" spans="1:8" ht="16">
      <c r="A4" s="18"/>
      <c r="B4" s="16"/>
      <c r="C4" s="17"/>
      <c r="D4" s="17"/>
      <c r="E4" s="7">
        <f>C4*$E$1+D4*$G$1</f>
        <v>0</v>
      </c>
      <c r="F4" s="6" t="str">
        <f t="shared" ref="F4:F5" si="0">IF(E4&gt;=3.6,"Outstanding",
 IF(E4&gt;=2.6,"Exceeds Expectations",
 IF(E4&gt;=2,"Meets Expectations","Needs Improvement")))</f>
        <v>Needs Improvement</v>
      </c>
      <c r="G4" s="1"/>
      <c r="H4" s="1"/>
    </row>
    <row r="5" spans="1:8" ht="16">
      <c r="A5" s="18"/>
      <c r="B5" s="16"/>
      <c r="C5" s="17"/>
      <c r="D5" s="17"/>
      <c r="E5" s="7">
        <f>C5*$E$1+D5*$G$1</f>
        <v>0</v>
      </c>
      <c r="F5" s="6" t="str">
        <f t="shared" si="0"/>
        <v>Needs Improvement</v>
      </c>
      <c r="G5" s="1"/>
      <c r="H5" s="1"/>
    </row>
    <row r="6" spans="1:8" ht="16">
      <c r="A6" s="18"/>
      <c r="B6" s="16"/>
      <c r="C6" s="17"/>
      <c r="D6" s="15"/>
      <c r="E6" s="6"/>
      <c r="F6" s="19"/>
    </row>
    <row r="7" spans="1:8" ht="16">
      <c r="A7" s="18"/>
      <c r="B7" s="16"/>
      <c r="C7" s="17"/>
      <c r="D7" s="17"/>
      <c r="E7" s="6"/>
      <c r="F7" s="19"/>
    </row>
    <row r="8" spans="1:8">
      <c r="A8" s="2" t="s">
        <v>14</v>
      </c>
    </row>
    <row r="10" spans="1:8">
      <c r="A10" s="8" t="s">
        <v>7</v>
      </c>
      <c r="B10" s="8" t="s">
        <v>8</v>
      </c>
      <c r="C10" s="8" t="s">
        <v>9</v>
      </c>
    </row>
    <row r="11" spans="1:8">
      <c r="A11" s="9" t="s">
        <v>10</v>
      </c>
      <c r="B11" s="9">
        <f>COUNTA(A3:A7)</f>
        <v>1</v>
      </c>
      <c r="C11" s="10">
        <f>AVERAGE(D3:D7)</f>
        <v>3.13</v>
      </c>
    </row>
    <row r="12" spans="1:8">
      <c r="A12" s="1"/>
      <c r="B12" s="1"/>
      <c r="C12" s="1"/>
    </row>
    <row r="13" spans="1:8">
      <c r="A13" s="3" t="s">
        <v>11</v>
      </c>
      <c r="B13" s="4"/>
      <c r="C13" s="5"/>
    </row>
    <row r="15" spans="1:8">
      <c r="A15" s="13" t="s">
        <v>4</v>
      </c>
      <c r="B15" s="13" t="str">
        <f>C2</f>
        <v>Self KRA</v>
      </c>
      <c r="C15" s="13" t="str">
        <f>D2</f>
        <v>Self Core Values</v>
      </c>
      <c r="D15" s="13" t="s">
        <v>9</v>
      </c>
      <c r="E15" s="13" t="s">
        <v>12</v>
      </c>
      <c r="F15" s="13" t="s">
        <v>13</v>
      </c>
    </row>
    <row r="16" spans="1:8">
      <c r="A16" s="9" t="str">
        <f>A3</f>
        <v>liana</v>
      </c>
      <c r="B16" s="10">
        <f t="shared" ref="B16:C18" si="1">C3</f>
        <v>3.36</v>
      </c>
      <c r="C16" s="10">
        <f t="shared" si="1"/>
        <v>3.13</v>
      </c>
      <c r="D16" s="10">
        <f>$C$11</f>
        <v>3.13</v>
      </c>
      <c r="E16" s="14">
        <f>B16*$E$1+D16*$G$1</f>
        <v>3.3140000000000001</v>
      </c>
      <c r="F16" s="9" t="str">
        <f>IF(E16&gt;=3.6,"Outstanding",
 IF(E16&gt;=2.6,"Exceeds Expectations",
 IF(E16&gt;=2,"Meets Expectations","Needs Improvement")))</f>
        <v>Exceeds Expectations</v>
      </c>
    </row>
    <row r="17" spans="1:6">
      <c r="A17" s="9">
        <f>A4</f>
        <v>0</v>
      </c>
      <c r="B17" s="10">
        <f t="shared" si="1"/>
        <v>0</v>
      </c>
      <c r="C17" s="10">
        <f t="shared" si="1"/>
        <v>0</v>
      </c>
      <c r="D17" s="10">
        <f t="shared" ref="D17:D18" si="2">$C$11</f>
        <v>3.13</v>
      </c>
      <c r="E17" s="14">
        <f>B17*$E$1+D17*$G$1</f>
        <v>0.626</v>
      </c>
      <c r="F17" s="9" t="str">
        <f t="shared" ref="F17:F18" si="3">IF(E17&gt;=3.6,"Outstanding",
 IF(E17&gt;=2.6,"Exceeds Expectations",
 IF(E17&gt;=2,"Meets Expectations","Needs Improvement")))</f>
        <v>Needs Improvement</v>
      </c>
    </row>
    <row r="18" spans="1:6">
      <c r="A18" s="9">
        <f>A5</f>
        <v>0</v>
      </c>
      <c r="B18" s="10">
        <f t="shared" si="1"/>
        <v>0</v>
      </c>
      <c r="C18" s="10">
        <f t="shared" si="1"/>
        <v>0</v>
      </c>
      <c r="D18" s="10">
        <f t="shared" si="2"/>
        <v>3.13</v>
      </c>
      <c r="E18" s="14">
        <f>B18*$E$1+D18*$G$1</f>
        <v>0.626</v>
      </c>
      <c r="F18" s="9" t="str">
        <f t="shared" si="3"/>
        <v>Needs Improvement</v>
      </c>
    </row>
    <row r="19" spans="1:6">
      <c r="A19" s="9"/>
      <c r="B19" s="10"/>
      <c r="C19" s="10"/>
      <c r="D19" s="10"/>
      <c r="E19" s="14"/>
      <c r="F19" s="9"/>
    </row>
    <row r="20" spans="1:6">
      <c r="A20" s="9"/>
      <c r="B20" s="10"/>
      <c r="C20" s="10"/>
      <c r="D20" s="10"/>
      <c r="E20" s="14"/>
      <c r="F20" s="9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D037B-B578-4EA5-923C-168A9DE23B26}">
  <dimension ref="A1:L19"/>
  <sheetViews>
    <sheetView workbookViewId="0">
      <selection activeCell="L2" sqref="L2"/>
    </sheetView>
  </sheetViews>
  <sheetFormatPr defaultRowHeight="14.5"/>
  <cols>
    <col min="1" max="1" width="8.90625" bestFit="1" customWidth="1"/>
    <col min="2" max="2" width="6.453125" bestFit="1" customWidth="1"/>
    <col min="3" max="3" width="5.90625" bestFit="1" customWidth="1"/>
    <col min="5" max="5" width="19.36328125" bestFit="1" customWidth="1"/>
    <col min="6" max="6" width="5.90625" bestFit="1" customWidth="1"/>
    <col min="8" max="8" width="11.08984375" bestFit="1" customWidth="1"/>
    <col min="9" max="9" width="17.54296875" bestFit="1" customWidth="1"/>
    <col min="10" max="10" width="10" bestFit="1" customWidth="1"/>
    <col min="11" max="11" width="16.6328125" bestFit="1" customWidth="1"/>
    <col min="12" max="12" width="9.7265625" bestFit="1" customWidth="1"/>
  </cols>
  <sheetData>
    <row r="1" spans="1:12">
      <c r="A1" t="s">
        <v>19</v>
      </c>
      <c r="B1" t="s">
        <v>20</v>
      </c>
      <c r="C1" t="s">
        <v>13</v>
      </c>
      <c r="E1" t="s">
        <v>21</v>
      </c>
      <c r="F1" t="s">
        <v>13</v>
      </c>
      <c r="H1" t="s">
        <v>47</v>
      </c>
      <c r="I1" t="s">
        <v>48</v>
      </c>
      <c r="J1" t="s">
        <v>2</v>
      </c>
      <c r="K1" t="s">
        <v>49</v>
      </c>
      <c r="L1" t="s">
        <v>12</v>
      </c>
    </row>
    <row r="2" spans="1:12">
      <c r="A2" t="s">
        <v>22</v>
      </c>
      <c r="B2" s="20">
        <v>0.05</v>
      </c>
      <c r="C2">
        <v>2</v>
      </c>
      <c r="E2" t="s">
        <v>23</v>
      </c>
      <c r="F2">
        <v>4</v>
      </c>
      <c r="H2" s="24">
        <f>SUMPRODUCT(B2:B18,C2:C18)</f>
        <v>3.3600000000000008</v>
      </c>
      <c r="I2" s="21">
        <f>F10/8</f>
        <v>3.125</v>
      </c>
      <c r="J2" s="22">
        <v>0.8</v>
      </c>
      <c r="K2" s="22">
        <v>0.2</v>
      </c>
      <c r="L2" s="21">
        <f>(H2*J2)+(I2*K2)</f>
        <v>3.3130000000000006</v>
      </c>
    </row>
    <row r="3" spans="1:12">
      <c r="A3" t="s">
        <v>24</v>
      </c>
      <c r="B3" s="20">
        <v>0.1</v>
      </c>
      <c r="C3">
        <v>3</v>
      </c>
      <c r="E3" t="s">
        <v>25</v>
      </c>
      <c r="F3">
        <v>4</v>
      </c>
    </row>
    <row r="4" spans="1:12">
      <c r="A4" t="s">
        <v>26</v>
      </c>
      <c r="B4" s="20">
        <v>0.05</v>
      </c>
      <c r="C4">
        <v>4</v>
      </c>
      <c r="E4" t="s">
        <v>27</v>
      </c>
      <c r="F4">
        <v>3</v>
      </c>
      <c r="I4" s="21"/>
    </row>
    <row r="5" spans="1:12">
      <c r="A5" t="s">
        <v>28</v>
      </c>
      <c r="B5" s="20">
        <v>0.05</v>
      </c>
      <c r="C5">
        <v>3</v>
      </c>
      <c r="E5" t="s">
        <v>29</v>
      </c>
      <c r="F5">
        <v>2</v>
      </c>
    </row>
    <row r="6" spans="1:12">
      <c r="A6" t="s">
        <v>30</v>
      </c>
      <c r="B6" s="20">
        <v>0.05</v>
      </c>
      <c r="C6">
        <v>4</v>
      </c>
      <c r="E6" t="s">
        <v>31</v>
      </c>
      <c r="F6">
        <v>2</v>
      </c>
    </row>
    <row r="7" spans="1:12">
      <c r="A7" t="s">
        <v>32</v>
      </c>
      <c r="B7" s="20">
        <v>0.2</v>
      </c>
      <c r="C7">
        <v>4</v>
      </c>
      <c r="E7" t="s">
        <v>33</v>
      </c>
      <c r="F7">
        <v>3</v>
      </c>
    </row>
    <row r="8" spans="1:12">
      <c r="A8" t="s">
        <v>34</v>
      </c>
      <c r="B8" s="20">
        <v>0.1</v>
      </c>
      <c r="C8">
        <v>4</v>
      </c>
      <c r="E8" t="s">
        <v>35</v>
      </c>
      <c r="F8">
        <v>3</v>
      </c>
    </row>
    <row r="9" spans="1:12">
      <c r="A9" t="s">
        <v>36</v>
      </c>
      <c r="B9" s="20">
        <v>0.02</v>
      </c>
      <c r="C9">
        <v>4</v>
      </c>
      <c r="E9" t="s">
        <v>37</v>
      </c>
      <c r="F9">
        <v>4</v>
      </c>
    </row>
    <row r="10" spans="1:12">
      <c r="A10" t="s">
        <v>38</v>
      </c>
      <c r="B10" s="20">
        <v>0.03</v>
      </c>
      <c r="C10">
        <v>3</v>
      </c>
      <c r="F10" s="23">
        <f>SUM(F2:F9)</f>
        <v>25</v>
      </c>
    </row>
    <row r="11" spans="1:12">
      <c r="A11" t="s">
        <v>39</v>
      </c>
      <c r="B11" s="20">
        <v>0.05</v>
      </c>
      <c r="C11">
        <v>3</v>
      </c>
    </row>
    <row r="12" spans="1:12">
      <c r="A12" t="s">
        <v>40</v>
      </c>
      <c r="B12" s="20">
        <v>0.03</v>
      </c>
      <c r="C12">
        <v>2</v>
      </c>
    </row>
    <row r="13" spans="1:12">
      <c r="A13" t="s">
        <v>41</v>
      </c>
      <c r="B13" s="20">
        <v>0.02</v>
      </c>
      <c r="C13">
        <v>4</v>
      </c>
    </row>
    <row r="14" spans="1:12">
      <c r="A14" t="s">
        <v>42</v>
      </c>
      <c r="B14" s="20">
        <v>0.05</v>
      </c>
      <c r="C14">
        <v>2</v>
      </c>
    </row>
    <row r="15" spans="1:12">
      <c r="A15" t="s">
        <v>43</v>
      </c>
      <c r="B15" s="20">
        <v>0.05</v>
      </c>
      <c r="C15">
        <v>4</v>
      </c>
    </row>
    <row r="16" spans="1:12">
      <c r="A16" t="s">
        <v>44</v>
      </c>
      <c r="B16" s="20">
        <v>0.05</v>
      </c>
      <c r="C16">
        <v>4</v>
      </c>
    </row>
    <row r="17" spans="1:3">
      <c r="A17" t="s">
        <v>45</v>
      </c>
      <c r="B17" s="20">
        <v>0.05</v>
      </c>
      <c r="C17">
        <v>3</v>
      </c>
    </row>
    <row r="18" spans="1:3">
      <c r="A18" t="s">
        <v>46</v>
      </c>
      <c r="B18" s="20">
        <v>0.05</v>
      </c>
      <c r="C18">
        <v>2</v>
      </c>
    </row>
    <row r="19" spans="1:3">
      <c r="B19" s="22">
        <f>SUM(B2:B18)</f>
        <v>1.0000000000000002</v>
      </c>
      <c r="C19" s="23">
        <f>SUM(C2:C18)</f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auto</vt:lpstr>
      <vt:lpstr>manual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2026-10-18T05:41:02Z</dcterms:modified>
</cp:coreProperties>
</file>