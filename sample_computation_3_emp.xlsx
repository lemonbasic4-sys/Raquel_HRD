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876FC08B-5FE0-4C68-AAFC-F02A25ADEED5}" xr6:coauthVersionLast="47" xr6:coauthVersionMax="47" xr10:uidLastSave="{00000000-0000-0000-0000-000000000000}"/>
  <bookViews>
    <workbookView xWindow="-120" yWindow="-120" windowWidth="20730" windowHeight="11760" xr2:uid="{E93FF709-E95F-4EF0-8785-FF14860712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" l="1"/>
  <c r="L23" i="1"/>
  <c r="L24" i="1" s="1"/>
  <c r="L25" i="1" s="1"/>
  <c r="L10" i="1"/>
  <c r="L11" i="1" s="1"/>
  <c r="L12" i="1" s="1"/>
  <c r="L27" i="1" s="1"/>
  <c r="I23" i="1"/>
  <c r="I24" i="1" s="1"/>
  <c r="I25" i="1" s="1"/>
  <c r="I10" i="1"/>
  <c r="I11" i="1" s="1"/>
  <c r="I12" i="1" s="1"/>
  <c r="I27" i="1" s="1"/>
  <c r="F25" i="1"/>
  <c r="F23" i="1"/>
  <c r="F24" i="1" s="1"/>
  <c r="F10" i="1"/>
  <c r="F11" i="1" s="1"/>
  <c r="F12" i="1" s="1"/>
  <c r="B5" i="1" l="1"/>
  <c r="B6" i="1" s="1"/>
  <c r="B7" i="1" s="1"/>
</calcChain>
</file>

<file path=xl/sharedStrings.xml><?xml version="1.0" encoding="utf-8"?>
<sst xmlns="http://schemas.openxmlformats.org/spreadsheetml/2006/main" count="34" uniqueCount="16">
  <si>
    <t>I. KRA</t>
  </si>
  <si>
    <t>KRA TOTAL</t>
  </si>
  <si>
    <t>KRA AVERAGE</t>
  </si>
  <si>
    <t>KRA WEIGHTED SCORE</t>
  </si>
  <si>
    <t>CORE VALUES TOTAL</t>
  </si>
  <si>
    <t>II. CORE VALUES</t>
  </si>
  <si>
    <t>CORE VALUES AVEGRAGE</t>
  </si>
  <si>
    <t>CORE VALUES WEIGTED SCORE</t>
  </si>
  <si>
    <t>FINAL</t>
  </si>
  <si>
    <t>Employee 1</t>
  </si>
  <si>
    <t>Employee 2</t>
  </si>
  <si>
    <t>Employee 3</t>
  </si>
  <si>
    <t>SHARED CORE VALUES</t>
  </si>
  <si>
    <t>SUM CORE VALUES AVERAGE</t>
  </si>
  <si>
    <t>CORE VALUES AVERAGE</t>
  </si>
  <si>
    <t>SHARED CORE VALUES WEIGTED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</si>
</sst>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2" fontId="0" fillId="2" borderId="0" xfId="0" applyNumberFormat="1" applyFill="1"/>
    <xf numFmtId="2" fontId="0" fillId="3" borderId="0" xfId="0" applyNumberFormat="1" applyFill="1"/>
    <xf numFmtId="0" fontId="0" fillId="0" borderId="0" xfId="0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64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165" fontId="0" fillId="3" borderId="0" xfId="0" applyNumberFormat="1" applyFill="1"/>
    <xf numFmtId="2" fontId="0" fillId="5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E29E-96AD-4ECE-AC7C-115366E264FE}">
  <dimension ref="A2:L27"/>
  <sheetViews>
    <sheetView tabSelected="1" zoomScale="85" zoomScaleNormal="85" workbookViewId="0">
      <selection activeCell="K8" sqref="K8"/>
    </sheetView>
  </sheetViews>
  <sheetFormatPr defaultRowHeight="15" x14ac:dyDescent="0.25"/>
  <cols>
    <col min="1" max="1" width="35.140625" bestFit="1" customWidth="1"/>
    <col min="2" max="2" width="20.140625" bestFit="1" customWidth="1"/>
    <col min="5" max="5" width="27.5703125" bestFit="1" customWidth="1"/>
    <col min="6" max="6" width="6.140625" bestFit="1" customWidth="1"/>
    <col min="7" max="7" width="7.85546875" customWidth="1"/>
    <col min="8" max="8" width="27.5703125" bestFit="1" customWidth="1"/>
    <col min="9" max="10" width="5.140625" bestFit="1" customWidth="1"/>
    <col min="11" max="11" width="27.5703125" bestFit="1" customWidth="1"/>
    <col min="12" max="13" width="4.7109375" bestFit="1" customWidth="1"/>
    <col min="14" max="14" width="4.5703125" bestFit="1" customWidth="1"/>
  </cols>
  <sheetData>
    <row r="2" spans="1:12" x14ac:dyDescent="0.25">
      <c r="E2" s="14" t="s">
        <v>9</v>
      </c>
      <c r="F2" s="14"/>
      <c r="H2" s="6" t="s">
        <v>10</v>
      </c>
      <c r="I2" s="6"/>
      <c r="K2" s="6" t="s">
        <v>11</v>
      </c>
      <c r="L2" s="6"/>
    </row>
    <row r="4" spans="1:12" x14ac:dyDescent="0.25">
      <c r="B4" s="6" t="s">
        <v>12</v>
      </c>
      <c r="E4" s="15" t="s">
        <v>0</v>
      </c>
      <c r="F4" s="15"/>
      <c r="H4" s="8" t="s">
        <v>0</v>
      </c>
      <c r="I4" s="8"/>
      <c r="K4" s="8" t="s">
        <v>0</v>
      </c>
      <c r="L4" s="8"/>
    </row>
    <row r="5" spans="1:12" x14ac:dyDescent="0.25">
      <c r="A5" t="s">
        <v>13</v>
      </c>
      <c r="B5" s="9">
        <f>SUM(F24,I24,L24)</f>
        <v>10.125</v>
      </c>
      <c r="E5" s="4">
        <v>1</v>
      </c>
      <c r="F5" s="7">
        <v>4</v>
      </c>
      <c r="H5" s="4">
        <v>1</v>
      </c>
      <c r="I5" s="7">
        <v>4</v>
      </c>
      <c r="K5" s="4">
        <v>1</v>
      </c>
      <c r="L5" s="7">
        <v>4</v>
      </c>
    </row>
    <row r="6" spans="1:12" x14ac:dyDescent="0.25">
      <c r="A6" t="s">
        <v>14</v>
      </c>
      <c r="B6" s="13">
        <f>B5/3</f>
        <v>3.375</v>
      </c>
      <c r="E6" s="4">
        <v>2</v>
      </c>
      <c r="F6" s="7">
        <v>4</v>
      </c>
      <c r="H6" s="4">
        <v>2</v>
      </c>
      <c r="I6" s="7">
        <v>2</v>
      </c>
      <c r="K6" s="4">
        <v>2</v>
      </c>
      <c r="L6" s="7">
        <v>4</v>
      </c>
    </row>
    <row r="7" spans="1:12" x14ac:dyDescent="0.25">
      <c r="A7" t="s">
        <v>15</v>
      </c>
      <c r="B7" s="1">
        <f>B6*0.2</f>
        <v>0.67500000000000004</v>
      </c>
      <c r="E7" s="4">
        <v>3</v>
      </c>
      <c r="F7" s="7">
        <v>3</v>
      </c>
      <c r="H7" s="4">
        <v>3</v>
      </c>
      <c r="I7" s="7">
        <v>3</v>
      </c>
      <c r="K7" s="4">
        <v>3</v>
      </c>
      <c r="L7" s="7">
        <v>4</v>
      </c>
    </row>
    <row r="8" spans="1:12" x14ac:dyDescent="0.25">
      <c r="E8" s="4">
        <v>4</v>
      </c>
      <c r="F8" s="7">
        <v>3</v>
      </c>
      <c r="H8" s="4">
        <v>4</v>
      </c>
      <c r="I8" s="7">
        <v>3</v>
      </c>
      <c r="K8" s="4">
        <v>4</v>
      </c>
      <c r="L8" s="7">
        <v>4</v>
      </c>
    </row>
    <row r="9" spans="1:12" x14ac:dyDescent="0.25">
      <c r="E9" s="4">
        <v>5</v>
      </c>
      <c r="F9" s="7">
        <v>3</v>
      </c>
      <c r="H9" s="4">
        <v>5</v>
      </c>
      <c r="I9" s="7">
        <v>4</v>
      </c>
      <c r="K9" s="4">
        <v>5</v>
      </c>
      <c r="L9" s="7">
        <v>4</v>
      </c>
    </row>
    <row r="10" spans="1:12" x14ac:dyDescent="0.25">
      <c r="E10" t="s">
        <v>1</v>
      </c>
      <c r="F10" s="5">
        <f>SUM(F5:F9)</f>
        <v>17</v>
      </c>
      <c r="H10" t="s">
        <v>1</v>
      </c>
      <c r="I10" s="5">
        <f>SUM(I5:I9)</f>
        <v>16</v>
      </c>
      <c r="K10" t="s">
        <v>1</v>
      </c>
      <c r="L10" s="5">
        <f>SUM(L5:L9)</f>
        <v>20</v>
      </c>
    </row>
    <row r="11" spans="1:12" x14ac:dyDescent="0.25">
      <c r="E11" t="s">
        <v>2</v>
      </c>
      <c r="F11" s="3">
        <f>F10/5</f>
        <v>3.4</v>
      </c>
      <c r="H11" t="s">
        <v>2</v>
      </c>
      <c r="I11" s="3">
        <f>I10/5</f>
        <v>3.2</v>
      </c>
      <c r="K11" t="s">
        <v>2</v>
      </c>
      <c r="L11" s="3">
        <f>L10/5</f>
        <v>4</v>
      </c>
    </row>
    <row r="12" spans="1:12" x14ac:dyDescent="0.25">
      <c r="E12" t="s">
        <v>3</v>
      </c>
      <c r="F12" s="10">
        <f>F11*0.8</f>
        <v>2.72</v>
      </c>
      <c r="H12" t="s">
        <v>3</v>
      </c>
      <c r="I12" s="10">
        <f>I11*0.8</f>
        <v>2.5600000000000005</v>
      </c>
      <c r="K12" t="s">
        <v>3</v>
      </c>
      <c r="L12" s="11">
        <f>L11*0.8</f>
        <v>3.2</v>
      </c>
    </row>
    <row r="14" spans="1:12" x14ac:dyDescent="0.25">
      <c r="E14" s="14" t="s">
        <v>5</v>
      </c>
      <c r="F14" s="14"/>
      <c r="H14" s="6" t="s">
        <v>5</v>
      </c>
      <c r="I14" s="6"/>
      <c r="K14" s="6" t="s">
        <v>5</v>
      </c>
      <c r="L14" s="6"/>
    </row>
    <row r="15" spans="1:12" x14ac:dyDescent="0.25">
      <c r="E15" s="4">
        <v>1</v>
      </c>
      <c r="F15">
        <v>3</v>
      </c>
      <c r="H15" s="4">
        <v>1</v>
      </c>
      <c r="I15">
        <v>1</v>
      </c>
      <c r="K15" s="4">
        <v>1</v>
      </c>
      <c r="L15">
        <v>4</v>
      </c>
    </row>
    <row r="16" spans="1:12" x14ac:dyDescent="0.25">
      <c r="E16" s="4">
        <v>2</v>
      </c>
      <c r="F16">
        <v>4</v>
      </c>
      <c r="H16" s="4">
        <v>2</v>
      </c>
      <c r="I16">
        <v>1</v>
      </c>
      <c r="K16" s="4">
        <v>2</v>
      </c>
      <c r="L16">
        <v>4</v>
      </c>
    </row>
    <row r="17" spans="5:12" x14ac:dyDescent="0.25">
      <c r="E17" s="4">
        <v>3</v>
      </c>
      <c r="F17">
        <v>2</v>
      </c>
      <c r="H17" s="4">
        <v>3</v>
      </c>
      <c r="I17">
        <v>4</v>
      </c>
      <c r="K17" s="4">
        <v>3</v>
      </c>
      <c r="L17">
        <v>4</v>
      </c>
    </row>
    <row r="18" spans="5:12" x14ac:dyDescent="0.25">
      <c r="E18" s="4">
        <v>4</v>
      </c>
      <c r="F18">
        <v>4</v>
      </c>
      <c r="H18" s="4">
        <v>4</v>
      </c>
      <c r="I18">
        <v>4</v>
      </c>
      <c r="K18" s="4">
        <v>4</v>
      </c>
      <c r="L18">
        <v>4</v>
      </c>
    </row>
    <row r="19" spans="5:12" x14ac:dyDescent="0.25">
      <c r="E19" s="4">
        <v>5</v>
      </c>
      <c r="F19">
        <v>4</v>
      </c>
      <c r="H19" s="4">
        <v>5</v>
      </c>
      <c r="I19">
        <v>4</v>
      </c>
      <c r="K19" s="4">
        <v>5</v>
      </c>
      <c r="L19">
        <v>4</v>
      </c>
    </row>
    <row r="20" spans="5:12" x14ac:dyDescent="0.25">
      <c r="E20" s="4">
        <v>6</v>
      </c>
      <c r="F20">
        <v>3</v>
      </c>
      <c r="H20" s="4">
        <v>6</v>
      </c>
      <c r="I20">
        <v>4</v>
      </c>
      <c r="K20" s="4">
        <v>6</v>
      </c>
      <c r="L20">
        <v>4</v>
      </c>
    </row>
    <row r="21" spans="5:12" x14ac:dyDescent="0.25">
      <c r="E21" s="4">
        <v>7</v>
      </c>
      <c r="F21">
        <v>2</v>
      </c>
      <c r="H21" s="4">
        <v>7</v>
      </c>
      <c r="I21">
        <v>4</v>
      </c>
      <c r="K21" s="4">
        <v>7</v>
      </c>
      <c r="L21">
        <v>4</v>
      </c>
    </row>
    <row r="22" spans="5:12" x14ac:dyDescent="0.25">
      <c r="E22" s="4">
        <v>8</v>
      </c>
      <c r="F22">
        <v>1</v>
      </c>
      <c r="H22" s="4">
        <v>8</v>
      </c>
      <c r="I22">
        <v>4</v>
      </c>
      <c r="K22" s="4">
        <v>8</v>
      </c>
      <c r="L22">
        <v>4</v>
      </c>
    </row>
    <row r="23" spans="5:12" x14ac:dyDescent="0.25">
      <c r="E23" t="s">
        <v>4</v>
      </c>
      <c r="F23" s="5">
        <f>SUM(F15:F22)</f>
        <v>23</v>
      </c>
      <c r="H23" t="s">
        <v>4</v>
      </c>
      <c r="I23" s="5">
        <f>SUM(I15:I22)</f>
        <v>26</v>
      </c>
      <c r="K23" t="s">
        <v>4</v>
      </c>
      <c r="L23" s="5">
        <f>SUM(L15:L22)</f>
        <v>32</v>
      </c>
    </row>
    <row r="24" spans="5:12" x14ac:dyDescent="0.25">
      <c r="E24" t="s">
        <v>6</v>
      </c>
      <c r="F24" s="9">
        <f>F23/8</f>
        <v>2.875</v>
      </c>
      <c r="H24" t="s">
        <v>6</v>
      </c>
      <c r="I24" s="3">
        <f>I23/8</f>
        <v>3.25</v>
      </c>
      <c r="K24" t="s">
        <v>6</v>
      </c>
      <c r="L24" s="12">
        <f>L23/8</f>
        <v>4</v>
      </c>
    </row>
    <row r="25" spans="5:12" x14ac:dyDescent="0.25">
      <c r="E25" t="s">
        <v>7</v>
      </c>
      <c r="F25" s="10">
        <f>F24*0.2</f>
        <v>0.57500000000000007</v>
      </c>
      <c r="H25" t="s">
        <v>7</v>
      </c>
      <c r="I25" s="10">
        <f>I24*0.2</f>
        <v>0.65</v>
      </c>
      <c r="K25" t="s">
        <v>7</v>
      </c>
      <c r="L25" s="11">
        <f>L24*0.2</f>
        <v>0.8</v>
      </c>
    </row>
    <row r="27" spans="5:12" x14ac:dyDescent="0.25">
      <c r="E27" t="s">
        <v>8</v>
      </c>
      <c r="F27" s="2">
        <f>SUM(F12,F25)</f>
        <v>3.2950000000000004</v>
      </c>
      <c r="H27" t="s">
        <v>8</v>
      </c>
      <c r="I27" s="2">
        <f>SUM(I12,I25)</f>
        <v>3.2100000000000004</v>
      </c>
      <c r="K27" t="s">
        <v>8</v>
      </c>
      <c r="L27" s="2">
        <f>SUM(L12,L25)</f>
        <v>4</v>
      </c>
    </row>
  </sheetData>
  <mergeCells count="3">
    <mergeCell ref="E4:F4"/>
    <mergeCell ref="E14:F14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2026-09-09T12:36:13Z</dcterms:created>
  <dcterms:modified xsi:type="dcterms:W3CDTF">2026-09-10T03:38:59Z</dcterms:modified>
</cp:coreProperties>
</file>